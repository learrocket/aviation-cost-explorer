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04"/>
  <workbookPr/>
  <mc:AlternateContent xmlns:mc="http://schemas.openxmlformats.org/markup-compatibility/2006">
    <mc:Choice Requires="x15">
      <x15ac:absPath xmlns:x15ac="http://schemas.microsoft.com/office/spreadsheetml/2010/11/ac" url="/Users/fredrikengmer/Library/CloudStorage/Dropbox/BLUELINK OTTO/Kalkyler/Ny version/"/>
    </mc:Choice>
  </mc:AlternateContent>
  <xr:revisionPtr revIDLastSave="1" documentId="13_ncr:1_{21780272-CB2C-C144-B9DA-189A6BAA3F26}" xr6:coauthVersionLast="47" xr6:coauthVersionMax="47" xr10:uidLastSave="{408B4935-4B33-4C6A-A83A-45210176E87C}"/>
  <bookViews>
    <workbookView xWindow="0" yWindow="500" windowWidth="19420" windowHeight="11500" firstSheet="1" activeTab="1" xr2:uid="{758B0585-905E-314E-B0D4-B4501ABA1345}"/>
  </bookViews>
  <sheets>
    <sheet name="1903 Aviation" sheetId="2" r:id="rId1"/>
    <sheet name="Cost per owner" sheetId="5" r:id="rId2"/>
    <sheet name="Fixed costs" sheetId="3" r:id="rId3"/>
    <sheet name="Variable costs" sheetId="1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6" i="3" l="1"/>
  <c r="H26" i="3"/>
  <c r="I24" i="3"/>
  <c r="I25" i="3"/>
  <c r="H24" i="3"/>
  <c r="H25" i="3"/>
  <c r="I5" i="1"/>
  <c r="C12" i="5"/>
  <c r="C5" i="3"/>
  <c r="C7" i="3"/>
  <c r="C8" i="3"/>
  <c r="H5" i="3" s="1"/>
  <c r="I5" i="3" s="1"/>
  <c r="C4" i="1"/>
  <c r="B11" i="5"/>
  <c r="G8" i="5"/>
  <c r="B18" i="5"/>
  <c r="B10" i="5"/>
  <c r="B4" i="5"/>
  <c r="B6" i="5" s="1"/>
  <c r="I7" i="1"/>
  <c r="I8" i="1"/>
  <c r="B20" i="2"/>
  <c r="B5" i="1" s="1"/>
  <c r="I6" i="1"/>
  <c r="B4" i="1"/>
  <c r="C5" i="1"/>
  <c r="H9" i="3"/>
  <c r="H10" i="3"/>
  <c r="H11" i="3"/>
  <c r="I11" i="3" s="1"/>
  <c r="H19" i="3"/>
  <c r="I19" i="3" s="1"/>
  <c r="H20" i="3"/>
  <c r="I20" i="3" s="1"/>
  <c r="H22" i="3"/>
  <c r="I22" i="3" s="1"/>
  <c r="H23" i="3"/>
  <c r="I23" i="3" s="1"/>
  <c r="H8" i="3"/>
  <c r="C18" i="3"/>
  <c r="B18" i="3"/>
  <c r="I9" i="3"/>
  <c r="I10" i="3"/>
  <c r="I8" i="3"/>
  <c r="B8" i="3"/>
  <c r="B16" i="3"/>
  <c r="B12" i="3"/>
  <c r="I4" i="3"/>
  <c r="H4" i="3"/>
  <c r="C16" i="3"/>
  <c r="H7" i="3" s="1"/>
  <c r="I7" i="3" s="1"/>
  <c r="C12" i="3"/>
  <c r="H6" i="3" s="1"/>
  <c r="I6" i="3" s="1"/>
  <c r="G12" i="3"/>
  <c r="H12" i="3" s="1"/>
  <c r="H14" i="3" l="1"/>
  <c r="I14" i="3" s="1"/>
  <c r="H13" i="3"/>
  <c r="I13" i="3" s="1"/>
  <c r="H21" i="3"/>
  <c r="I21" i="3" s="1"/>
  <c r="H18" i="3"/>
  <c r="I18" i="3" s="1"/>
  <c r="H17" i="3"/>
  <c r="H16" i="3"/>
  <c r="I16" i="3" s="1"/>
  <c r="H15" i="3"/>
  <c r="I15" i="3" s="1"/>
  <c r="I12" i="3"/>
  <c r="I17" i="3"/>
  <c r="C5" i="5" l="1"/>
  <c r="D5" i="5"/>
  <c r="I9" i="1"/>
  <c r="C7" i="5" s="1"/>
  <c r="C11" i="5" s="1"/>
  <c r="C13" i="5" s="1"/>
  <c r="C15" i="5" l="1"/>
  <c r="C20" i="5" s="1"/>
  <c r="E20" i="5" s="1"/>
  <c r="C19" i="5" l="1"/>
  <c r="E19" i="5" s="1"/>
  <c r="C16" i="5"/>
  <c r="D20" i="5" l="1"/>
  <c r="D19" i="5"/>
</calcChain>
</file>

<file path=xl/sharedStrings.xml><?xml version="1.0" encoding="utf-8"?>
<sst xmlns="http://schemas.openxmlformats.org/spreadsheetml/2006/main" count="102" uniqueCount="98">
  <si>
    <t xml:space="preserve">Last updated: </t>
  </si>
  <si>
    <t xml:space="preserve">Airplane model: </t>
  </si>
  <si>
    <t>Global 6000</t>
  </si>
  <si>
    <t>Currency</t>
  </si>
  <si>
    <t>Currency:</t>
  </si>
  <si>
    <t>EUR</t>
  </si>
  <si>
    <t>Dollar / SEK</t>
  </si>
  <si>
    <t>Euro / SEK</t>
  </si>
  <si>
    <t>USD / EUR</t>
  </si>
  <si>
    <t>Cost per owner</t>
  </si>
  <si>
    <t>Yearly</t>
  </si>
  <si>
    <t>Monthly</t>
  </si>
  <si>
    <t>Flight time</t>
  </si>
  <si>
    <t>Hours</t>
  </si>
  <si>
    <t>Fixed cost</t>
  </si>
  <si>
    <t>Flight time owner 1</t>
  </si>
  <si>
    <t>Hourly</t>
  </si>
  <si>
    <t>Flight time owner 2</t>
  </si>
  <si>
    <t>Variable cost</t>
  </si>
  <si>
    <t>Flight time charter</t>
  </si>
  <si>
    <t>Total Hours</t>
  </si>
  <si>
    <t>Charter</t>
  </si>
  <si>
    <t>Hours charter</t>
  </si>
  <si>
    <t>Charter revenue</t>
  </si>
  <si>
    <t>New yearly cost</t>
  </si>
  <si>
    <t>New monthly cost</t>
  </si>
  <si>
    <t>Fix Yearly</t>
  </si>
  <si>
    <t>Fix Montly</t>
  </si>
  <si>
    <t>Hourly cost</t>
  </si>
  <si>
    <t xml:space="preserve">Owner 1 </t>
  </si>
  <si>
    <t xml:space="preserve">Owner 2 </t>
  </si>
  <si>
    <t>Note: Average handling + landing fees 3000 - 6000 euro</t>
  </si>
  <si>
    <t>Fixed costs</t>
  </si>
  <si>
    <t>Nr of captain</t>
  </si>
  <si>
    <t>Input Yearly - EUR</t>
  </si>
  <si>
    <t>Input Yearly - Dollar</t>
  </si>
  <si>
    <t>Comments:</t>
  </si>
  <si>
    <t>Cost per pilot (yearly)</t>
  </si>
  <si>
    <t>Crew</t>
  </si>
  <si>
    <t>2 kaptener och 2 styrmän</t>
  </si>
  <si>
    <t>Nr of first officer</t>
  </si>
  <si>
    <t xml:space="preserve">Cabin crew </t>
  </si>
  <si>
    <t>1 värdinnor</t>
  </si>
  <si>
    <t>Cost per first officier (yearly)</t>
  </si>
  <si>
    <t>Flight engineer</t>
  </si>
  <si>
    <t>Halv tekniker</t>
  </si>
  <si>
    <t>Health and travel insurance</t>
  </si>
  <si>
    <t>Personalförsäkringar, reseförsäkring och sjukförsäkring</t>
  </si>
  <si>
    <t>Management Fee , CAMO</t>
  </si>
  <si>
    <t>Kostnaden för att ha flygplanet på tillstånd</t>
  </si>
  <si>
    <t>Nr of cabin crew</t>
  </si>
  <si>
    <t>Insurance</t>
  </si>
  <si>
    <t>Värde ca 25 musd</t>
  </si>
  <si>
    <t>Cost per cabin crew (yearly)</t>
  </si>
  <si>
    <t>Motorprogram RR</t>
  </si>
  <si>
    <t xml:space="preserve">Motorprogram min 530 000 usd/år 400 h </t>
  </si>
  <si>
    <t>Parts, Smartparts +</t>
  </si>
  <si>
    <t xml:space="preserve">Reservdelsprogram min 330 000 usd/år 250 h </t>
  </si>
  <si>
    <t>CAMP</t>
  </si>
  <si>
    <t>Uppföljningsprogram för flygplanet</t>
  </si>
  <si>
    <t>Nr of flight engineers</t>
  </si>
  <si>
    <t>INDS (Nav DB + charts)</t>
  </si>
  <si>
    <t>Navigationskort i cockpit</t>
  </si>
  <si>
    <t>Cost per flight engineer (yearly)</t>
  </si>
  <si>
    <t>Satcom</t>
  </si>
  <si>
    <t xml:space="preserve">Satcom Direct </t>
  </si>
  <si>
    <t>Starlink</t>
  </si>
  <si>
    <t>Internet 2000-10000 usd / månad</t>
  </si>
  <si>
    <t>Technical manuals</t>
  </si>
  <si>
    <t>Manualer från tillverkaren</t>
  </si>
  <si>
    <t>Electronic flight Bags (EFB)</t>
  </si>
  <si>
    <t>Jepessen, Satcom direct och ipads, APG, forflight,</t>
  </si>
  <si>
    <t>Flight data monitor</t>
  </si>
  <si>
    <t>Uppföljningsprogram för aktuella flygningar</t>
  </si>
  <si>
    <t>Base (hangar m.m.)</t>
  </si>
  <si>
    <t>Delad hangar</t>
  </si>
  <si>
    <t>Education</t>
  </si>
  <si>
    <t>Simulatorutbildning för 4 piloter</t>
  </si>
  <si>
    <t>Tools technician</t>
  </si>
  <si>
    <t>Löpande uppdatering av verktyg till hangaren</t>
  </si>
  <si>
    <t>Others (mobile, uniform, medical etc)</t>
  </si>
  <si>
    <t>Mobil abonemang, uniform till piloter, kabin, tekniker</t>
  </si>
  <si>
    <t xml:space="preserve">Avinode </t>
  </si>
  <si>
    <t xml:space="preserve">Medair </t>
  </si>
  <si>
    <t>Total:</t>
  </si>
  <si>
    <t>Variale costs</t>
  </si>
  <si>
    <t>Variable costs</t>
  </si>
  <si>
    <t>Input Hour - Liter</t>
  </si>
  <si>
    <t>Input Hour - EUR</t>
  </si>
  <si>
    <t>Input Hour - Dollar</t>
  </si>
  <si>
    <t>Fuel</t>
  </si>
  <si>
    <t>En Route Fee</t>
  </si>
  <si>
    <t>Eurocontrol, kostnaden att flyga över ett land. Liten ökning</t>
  </si>
  <si>
    <t>APU Honeywell</t>
  </si>
  <si>
    <t>Räknar med APU tid 50% av totala tiden</t>
  </si>
  <si>
    <t>Airframe Maintenance Labour</t>
  </si>
  <si>
    <t>Avsättningar för kommande service</t>
  </si>
  <si>
    <r>
      <rPr>
        <b/>
        <i/>
        <sz val="9.35"/>
        <color theme="1"/>
        <rFont val="Arial"/>
        <family val="2"/>
      </rPr>
      <t xml:space="preserve">NOTE: </t>
    </r>
    <r>
      <rPr>
        <i/>
        <sz val="11"/>
        <color theme="1"/>
        <rFont val="Arial"/>
        <family val="2"/>
      </rPr>
      <t>Hotel, per diem, catering, landing, handling and parking are not included and are additional outside Bromma.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</si>
</sst>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_-* #,##0.00\ &quot;kr&quot;_-;\-* #,##0.00\ &quot;kr&quot;_-;_-* &quot;-&quot;??\ &quot;kr&quot;_-;_-@_-"/>
    <numFmt numFmtId="165" formatCode="#,##0\ &quot;kr&quot;"/>
    <numFmt numFmtId="166" formatCode="[$$-409]#,##0"/>
    <numFmt numFmtId="167" formatCode="[$$-540A]#,##0"/>
    <numFmt numFmtId="168" formatCode="[$€-2]\ #,##0.00"/>
    <numFmt numFmtId="169" formatCode="[$€-2]\ #,##0"/>
    <numFmt numFmtId="170" formatCode="#,##0\ [$€-1]"/>
    <numFmt numFmtId="171" formatCode="yyyy/mm/dd;@"/>
  </numFmts>
  <fonts count="16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theme="1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b/>
      <sz val="11"/>
      <color rgb="FF0000FF"/>
      <name val="Arial"/>
      <family val="2"/>
    </font>
    <font>
      <sz val="11"/>
      <color rgb="FF0000FF"/>
      <name val="Arial"/>
      <family val="2"/>
    </font>
    <font>
      <b/>
      <sz val="11"/>
      <color theme="1"/>
      <name val="Arial"/>
      <family val="2"/>
    </font>
    <font>
      <i/>
      <sz val="11"/>
      <color theme="1"/>
      <name val="Arial"/>
      <family val="2"/>
    </font>
    <font>
      <sz val="11"/>
      <color rgb="FF000000"/>
      <name val="Arial"/>
      <family val="2"/>
    </font>
    <font>
      <b/>
      <sz val="11"/>
      <color theme="0"/>
      <name val="Arial"/>
      <family val="2"/>
    </font>
    <font>
      <b/>
      <i/>
      <sz val="11"/>
      <color theme="1"/>
      <name val="Arial"/>
      <family val="2"/>
    </font>
    <font>
      <b/>
      <i/>
      <sz val="9.35"/>
      <color theme="1"/>
      <name val="Arial"/>
      <family val="2"/>
    </font>
    <font>
      <sz val="11"/>
      <color rgb="FF538135"/>
      <name val="Arial"/>
      <family val="2"/>
    </font>
    <font>
      <b/>
      <sz val="11"/>
      <color rgb="FF538135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gray0625">
        <fgColor rgb="FF002060"/>
      </patternFill>
    </fill>
    <fill>
      <patternFill patternType="solid">
        <fgColor theme="6"/>
        <bgColor indexed="64"/>
      </patternFill>
    </fill>
  </fills>
  <borders count="3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dotted">
        <color indexed="64"/>
      </left>
      <right/>
      <top style="dotted">
        <color indexed="64"/>
      </top>
      <bottom/>
      <diagonal/>
    </border>
    <border>
      <left/>
      <right style="dotted">
        <color indexed="64"/>
      </right>
      <top style="dotted">
        <color indexed="64"/>
      </top>
      <bottom/>
      <diagonal/>
    </border>
    <border>
      <left style="dotted">
        <color indexed="64"/>
      </left>
      <right/>
      <top/>
      <bottom/>
      <diagonal/>
    </border>
    <border>
      <left/>
      <right style="dotted">
        <color indexed="64"/>
      </right>
      <top/>
      <bottom/>
      <diagonal/>
    </border>
    <border>
      <left style="dotted">
        <color indexed="64"/>
      </left>
      <right/>
      <top style="thin">
        <color indexed="64"/>
      </top>
      <bottom style="dotted">
        <color indexed="64"/>
      </bottom>
      <diagonal/>
    </border>
    <border>
      <left/>
      <right style="dotted">
        <color indexed="64"/>
      </right>
      <top style="thin">
        <color indexed="64"/>
      </top>
      <bottom style="dotted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dotted">
        <color indexed="64"/>
      </left>
      <right/>
      <top style="dotted">
        <color indexed="64"/>
      </top>
      <bottom style="thin">
        <color indexed="64"/>
      </bottom>
      <diagonal/>
    </border>
    <border>
      <left/>
      <right/>
      <top style="dotted">
        <color indexed="64"/>
      </top>
      <bottom style="thin">
        <color indexed="64"/>
      </bottom>
      <diagonal/>
    </border>
    <border>
      <left/>
      <right style="dotted">
        <color indexed="64"/>
      </right>
      <top style="dotted">
        <color indexed="64"/>
      </top>
      <bottom style="thin">
        <color indexed="64"/>
      </bottom>
      <diagonal/>
    </border>
    <border>
      <left style="dotted">
        <color indexed="64"/>
      </left>
      <right/>
      <top/>
      <bottom style="thin">
        <color indexed="64"/>
      </bottom>
      <diagonal/>
    </border>
    <border>
      <left/>
      <right style="dotted">
        <color indexed="64"/>
      </right>
      <top/>
      <bottom style="thin">
        <color indexed="64"/>
      </bottom>
      <diagonal/>
    </border>
    <border>
      <left style="dotted">
        <color indexed="64"/>
      </left>
      <right/>
      <top/>
      <bottom style="dotted">
        <color indexed="64"/>
      </bottom>
      <diagonal/>
    </border>
    <border>
      <left/>
      <right/>
      <top/>
      <bottom style="dotted">
        <color indexed="64"/>
      </bottom>
      <diagonal/>
    </border>
    <border>
      <left/>
      <right style="dotted">
        <color indexed="64"/>
      </right>
      <top/>
      <bottom style="dotted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103">
    <xf numFmtId="0" fontId="0" fillId="0" borderId="0" xfId="0"/>
    <xf numFmtId="170" fontId="3" fillId="0" borderId="0" xfId="0" applyNumberFormat="1" applyFont="1"/>
    <xf numFmtId="0" fontId="3" fillId="0" borderId="0" xfId="0" applyFont="1"/>
    <xf numFmtId="170" fontId="4" fillId="0" borderId="0" xfId="0" applyNumberFormat="1" applyFont="1"/>
    <xf numFmtId="165" fontId="3" fillId="0" borderId="0" xfId="0" applyNumberFormat="1" applyFont="1"/>
    <xf numFmtId="0" fontId="3" fillId="0" borderId="0" xfId="0" applyFont="1" applyAlignment="1">
      <alignment horizontal="center"/>
    </xf>
    <xf numFmtId="14" fontId="5" fillId="0" borderId="0" xfId="0" applyNumberFormat="1" applyFont="1" applyAlignment="1">
      <alignment horizontal="left"/>
    </xf>
    <xf numFmtId="171" fontId="6" fillId="0" borderId="0" xfId="0" applyNumberFormat="1" applyFont="1" applyAlignment="1">
      <alignment horizontal="right"/>
    </xf>
    <xf numFmtId="14" fontId="6" fillId="0" borderId="0" xfId="0" applyNumberFormat="1" applyFont="1" applyAlignment="1">
      <alignment horizontal="right"/>
    </xf>
    <xf numFmtId="0" fontId="7" fillId="0" borderId="0" xfId="0" applyFont="1" applyAlignment="1">
      <alignment horizontal="center"/>
    </xf>
    <xf numFmtId="0" fontId="8" fillId="0" borderId="9" xfId="0" applyFont="1" applyBorder="1"/>
    <xf numFmtId="0" fontId="3" fillId="0" borderId="9" xfId="0" applyFont="1" applyBorder="1"/>
    <xf numFmtId="0" fontId="4" fillId="0" borderId="0" xfId="0" applyFont="1"/>
    <xf numFmtId="0" fontId="7" fillId="3" borderId="0" xfId="0" applyFont="1" applyFill="1" applyAlignment="1">
      <alignment horizontal="center"/>
    </xf>
    <xf numFmtId="4" fontId="7" fillId="3" borderId="0" xfId="0" applyNumberFormat="1" applyFont="1" applyFill="1" applyAlignment="1">
      <alignment horizontal="center"/>
    </xf>
    <xf numFmtId="0" fontId="9" fillId="0" borderId="0" xfId="0" applyFont="1" applyAlignment="1">
      <alignment horizontal="left"/>
    </xf>
    <xf numFmtId="0" fontId="5" fillId="0" borderId="0" xfId="0" applyFont="1"/>
    <xf numFmtId="170" fontId="3" fillId="0" borderId="0" xfId="1" applyNumberFormat="1" applyFont="1" applyFill="1" applyBorder="1"/>
    <xf numFmtId="166" fontId="3" fillId="0" borderId="0" xfId="0" applyNumberFormat="1" applyFont="1"/>
    <xf numFmtId="0" fontId="10" fillId="0" borderId="0" xfId="0" applyFont="1"/>
    <xf numFmtId="167" fontId="3" fillId="0" borderId="0" xfId="0" applyNumberFormat="1" applyFont="1"/>
    <xf numFmtId="0" fontId="3" fillId="0" borderId="7" xfId="0" applyFont="1" applyBorder="1"/>
    <xf numFmtId="165" fontId="3" fillId="0" borderId="0" xfId="1" applyNumberFormat="1" applyFont="1" applyBorder="1"/>
    <xf numFmtId="165" fontId="3" fillId="0" borderId="0" xfId="1" applyNumberFormat="1" applyFont="1" applyFill="1" applyBorder="1"/>
    <xf numFmtId="169" fontId="3" fillId="0" borderId="0" xfId="0" applyNumberFormat="1" applyFont="1"/>
    <xf numFmtId="165" fontId="8" fillId="0" borderId="0" xfId="0" applyNumberFormat="1" applyFont="1"/>
    <xf numFmtId="168" fontId="3" fillId="0" borderId="0" xfId="0" applyNumberFormat="1" applyFont="1"/>
    <xf numFmtId="170" fontId="8" fillId="0" borderId="0" xfId="0" applyNumberFormat="1" applyFont="1"/>
    <xf numFmtId="170" fontId="5" fillId="0" borderId="0" xfId="0" applyNumberFormat="1" applyFont="1"/>
    <xf numFmtId="3" fontId="4" fillId="0" borderId="0" xfId="0" applyNumberFormat="1" applyFont="1"/>
    <xf numFmtId="0" fontId="5" fillId="0" borderId="1" xfId="0" applyFont="1" applyBorder="1"/>
    <xf numFmtId="0" fontId="3" fillId="0" borderId="4" xfId="0" applyFont="1" applyBorder="1"/>
    <xf numFmtId="170" fontId="3" fillId="0" borderId="0" xfId="1" applyNumberFormat="1" applyFont="1" applyBorder="1"/>
    <xf numFmtId="0" fontId="10" fillId="0" borderId="7" xfId="0" applyFont="1" applyBorder="1"/>
    <xf numFmtId="0" fontId="4" fillId="0" borderId="7" xfId="0" applyFont="1" applyBorder="1"/>
    <xf numFmtId="14" fontId="11" fillId="6" borderId="14" xfId="0" applyNumberFormat="1" applyFont="1" applyFill="1" applyBorder="1" applyAlignment="1">
      <alignment horizontal="left"/>
    </xf>
    <xf numFmtId="0" fontId="3" fillId="0" borderId="15" xfId="0" applyFont="1" applyBorder="1"/>
    <xf numFmtId="0" fontId="7" fillId="3" borderId="16" xfId="0" applyFont="1" applyFill="1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8" fillId="0" borderId="22" xfId="0" applyFont="1" applyBorder="1" applyAlignment="1">
      <alignment horizontal="center"/>
    </xf>
    <xf numFmtId="0" fontId="8" fillId="0" borderId="3" xfId="0" applyFont="1" applyBorder="1" applyAlignment="1">
      <alignment horizontal="center"/>
    </xf>
    <xf numFmtId="0" fontId="12" fillId="4" borderId="9" xfId="0" applyFont="1" applyFill="1" applyBorder="1" applyAlignment="1">
      <alignment horizontal="left"/>
    </xf>
    <xf numFmtId="0" fontId="3" fillId="0" borderId="17" xfId="0" applyFont="1" applyBorder="1"/>
    <xf numFmtId="3" fontId="7" fillId="3" borderId="18" xfId="0" applyNumberFormat="1" applyFont="1" applyFill="1" applyBorder="1" applyAlignment="1">
      <alignment horizontal="center"/>
    </xf>
    <xf numFmtId="3" fontId="7" fillId="0" borderId="0" xfId="0" applyNumberFormat="1" applyFont="1" applyAlignment="1">
      <alignment horizontal="center"/>
    </xf>
    <xf numFmtId="0" fontId="3" fillId="5" borderId="5" xfId="0" applyFont="1" applyFill="1" applyBorder="1" applyAlignment="1">
      <alignment horizontal="center"/>
    </xf>
    <xf numFmtId="0" fontId="3" fillId="5" borderId="23" xfId="0" applyFont="1" applyFill="1" applyBorder="1" applyAlignment="1">
      <alignment horizontal="center"/>
    </xf>
    <xf numFmtId="170" fontId="4" fillId="0" borderId="5" xfId="1" applyNumberFormat="1" applyFont="1" applyBorder="1" applyAlignment="1">
      <alignment horizontal="center"/>
    </xf>
    <xf numFmtId="170" fontId="3" fillId="0" borderId="6" xfId="0" applyNumberFormat="1" applyFont="1" applyBorder="1" applyAlignment="1">
      <alignment horizontal="center"/>
    </xf>
    <xf numFmtId="0" fontId="3" fillId="4" borderId="0" xfId="0" applyFont="1" applyFill="1"/>
    <xf numFmtId="166" fontId="3" fillId="5" borderId="0" xfId="0" applyNumberFormat="1" applyFont="1" applyFill="1" applyAlignment="1">
      <alignment horizontal="center"/>
    </xf>
    <xf numFmtId="166" fontId="3" fillId="5" borderId="24" xfId="0" applyNumberFormat="1" applyFont="1" applyFill="1" applyBorder="1" applyAlignment="1">
      <alignment horizontal="center"/>
    </xf>
    <xf numFmtId="170" fontId="3" fillId="0" borderId="0" xfId="1" applyNumberFormat="1" applyFont="1" applyBorder="1" applyAlignment="1">
      <alignment horizontal="center"/>
    </xf>
    <xf numFmtId="170" fontId="3" fillId="0" borderId="8" xfId="0" applyNumberFormat="1" applyFont="1" applyBorder="1" applyAlignment="1">
      <alignment horizontal="center"/>
    </xf>
    <xf numFmtId="0" fontId="3" fillId="5" borderId="0" xfId="0" applyFont="1" applyFill="1" applyAlignment="1">
      <alignment horizontal="center"/>
    </xf>
    <xf numFmtId="0" fontId="3" fillId="5" borderId="24" xfId="0" applyFont="1" applyFill="1" applyBorder="1" applyAlignment="1">
      <alignment horizontal="center"/>
    </xf>
    <xf numFmtId="0" fontId="8" fillId="0" borderId="19" xfId="0" applyFont="1" applyBorder="1"/>
    <xf numFmtId="3" fontId="5" fillId="3" borderId="20" xfId="0" applyNumberFormat="1" applyFont="1" applyFill="1" applyBorder="1" applyAlignment="1">
      <alignment horizontal="center"/>
    </xf>
    <xf numFmtId="3" fontId="5" fillId="0" borderId="0" xfId="0" applyNumberFormat="1" applyFont="1" applyAlignment="1">
      <alignment horizontal="center"/>
    </xf>
    <xf numFmtId="170" fontId="7" fillId="3" borderId="0" xfId="1" applyNumberFormat="1" applyFont="1" applyFill="1" applyBorder="1" applyAlignment="1">
      <alignment horizontal="center"/>
    </xf>
    <xf numFmtId="166" fontId="7" fillId="3" borderId="24" xfId="0" applyNumberFormat="1" applyFont="1" applyFill="1" applyBorder="1" applyAlignment="1">
      <alignment horizontal="center"/>
    </xf>
    <xf numFmtId="170" fontId="4" fillId="2" borderId="0" xfId="1" applyNumberFormat="1" applyFont="1" applyFill="1" applyBorder="1" applyAlignment="1">
      <alignment horizontal="center"/>
    </xf>
    <xf numFmtId="167" fontId="7" fillId="3" borderId="24" xfId="0" applyNumberFormat="1" applyFont="1" applyFill="1" applyBorder="1" applyAlignment="1">
      <alignment horizontal="center"/>
    </xf>
    <xf numFmtId="0" fontId="10" fillId="0" borderId="0" xfId="0" applyFont="1" applyAlignment="1">
      <alignment horizontal="center"/>
    </xf>
    <xf numFmtId="170" fontId="7" fillId="3" borderId="9" xfId="1" applyNumberFormat="1" applyFont="1" applyFill="1" applyBorder="1" applyAlignment="1">
      <alignment horizontal="center"/>
    </xf>
    <xf numFmtId="170" fontId="3" fillId="0" borderId="10" xfId="0" applyNumberFormat="1" applyFont="1" applyBorder="1" applyAlignment="1">
      <alignment horizontal="center"/>
    </xf>
    <xf numFmtId="0" fontId="3" fillId="4" borderId="21" xfId="0" applyFont="1" applyFill="1" applyBorder="1"/>
    <xf numFmtId="0" fontId="8" fillId="0" borderId="11" xfId="0" applyFont="1" applyBorder="1"/>
    <xf numFmtId="166" fontId="8" fillId="0" borderId="12" xfId="0" applyNumberFormat="1" applyFont="1" applyBorder="1" applyAlignment="1">
      <alignment horizontal="center"/>
    </xf>
    <xf numFmtId="166" fontId="8" fillId="0" borderId="25" xfId="0" applyNumberFormat="1" applyFont="1" applyBorder="1" applyAlignment="1">
      <alignment horizontal="center"/>
    </xf>
    <xf numFmtId="170" fontId="8" fillId="0" borderId="12" xfId="1" applyNumberFormat="1" applyFont="1" applyBorder="1" applyAlignment="1">
      <alignment horizontal="center"/>
    </xf>
    <xf numFmtId="170" fontId="8" fillId="0" borderId="13" xfId="0" applyNumberFormat="1" applyFont="1" applyBorder="1" applyAlignment="1">
      <alignment horizontal="center"/>
    </xf>
    <xf numFmtId="0" fontId="8" fillId="0" borderId="0" xfId="0" applyFont="1" applyAlignment="1">
      <alignment horizontal="center"/>
    </xf>
    <xf numFmtId="0" fontId="8" fillId="0" borderId="26" xfId="0" applyFont="1" applyBorder="1"/>
    <xf numFmtId="0" fontId="5" fillId="0" borderId="26" xfId="0" applyFont="1" applyBorder="1"/>
    <xf numFmtId="0" fontId="9" fillId="0" borderId="0" xfId="0" applyFont="1"/>
    <xf numFmtId="0" fontId="5" fillId="0" borderId="28" xfId="0" applyFont="1" applyBorder="1" applyAlignment="1">
      <alignment horizontal="center"/>
    </xf>
    <xf numFmtId="3" fontId="7" fillId="3" borderId="0" xfId="1" applyNumberFormat="1" applyFont="1" applyFill="1" applyBorder="1" applyAlignment="1">
      <alignment horizontal="center"/>
    </xf>
    <xf numFmtId="0" fontId="8" fillId="0" borderId="27" xfId="0" applyFont="1" applyBorder="1" applyAlignment="1">
      <alignment horizontal="center"/>
    </xf>
    <xf numFmtId="0" fontId="8" fillId="0" borderId="12" xfId="0" applyFont="1" applyBorder="1" applyAlignment="1">
      <alignment horizontal="center"/>
    </xf>
    <xf numFmtId="166" fontId="3" fillId="5" borderId="22" xfId="0" applyNumberFormat="1" applyFont="1" applyFill="1" applyBorder="1" applyAlignment="1">
      <alignment horizontal="center"/>
    </xf>
    <xf numFmtId="3" fontId="7" fillId="3" borderId="0" xfId="0" applyNumberFormat="1" applyFont="1" applyFill="1" applyAlignment="1">
      <alignment horizontal="center"/>
    </xf>
    <xf numFmtId="3" fontId="7" fillId="3" borderId="9" xfId="0" applyNumberFormat="1" applyFont="1" applyFill="1" applyBorder="1" applyAlignment="1">
      <alignment horizontal="center"/>
    </xf>
    <xf numFmtId="0" fontId="8" fillId="0" borderId="12" xfId="0" applyFont="1" applyBorder="1"/>
    <xf numFmtId="3" fontId="5" fillId="0" borderId="12" xfId="0" applyNumberFormat="1" applyFont="1" applyBorder="1" applyAlignment="1">
      <alignment horizontal="center"/>
    </xf>
    <xf numFmtId="0" fontId="8" fillId="0" borderId="9" xfId="0" applyFont="1" applyBorder="1" applyAlignment="1">
      <alignment horizontal="center"/>
    </xf>
    <xf numFmtId="169" fontId="14" fillId="0" borderId="0" xfId="0" applyNumberFormat="1" applyFont="1" applyAlignment="1">
      <alignment horizontal="center"/>
    </xf>
    <xf numFmtId="0" fontId="8" fillId="0" borderId="29" xfId="0" applyFont="1" applyBorder="1"/>
    <xf numFmtId="0" fontId="8" fillId="0" borderId="30" xfId="0" applyFont="1" applyBorder="1" applyAlignment="1">
      <alignment horizontal="center"/>
    </xf>
    <xf numFmtId="0" fontId="8" fillId="0" borderId="31" xfId="0" applyFont="1" applyBorder="1" applyAlignment="1">
      <alignment horizontal="center"/>
    </xf>
    <xf numFmtId="169" fontId="14" fillId="0" borderId="18" xfId="0" applyNumberFormat="1" applyFont="1" applyBorder="1" applyAlignment="1">
      <alignment horizontal="center"/>
    </xf>
    <xf numFmtId="0" fontId="8" fillId="0" borderId="32" xfId="0" applyFont="1" applyBorder="1"/>
    <xf numFmtId="169" fontId="14" fillId="0" borderId="33" xfId="0" applyNumberFormat="1" applyFont="1" applyBorder="1" applyAlignment="1">
      <alignment horizontal="center"/>
    </xf>
    <xf numFmtId="0" fontId="3" fillId="0" borderId="34" xfId="0" applyFont="1" applyBorder="1"/>
    <xf numFmtId="169" fontId="14" fillId="0" borderId="35" xfId="0" applyNumberFormat="1" applyFont="1" applyBorder="1" applyAlignment="1">
      <alignment horizontal="center"/>
    </xf>
    <xf numFmtId="169" fontId="14" fillId="0" borderId="36" xfId="0" applyNumberFormat="1" applyFont="1" applyBorder="1" applyAlignment="1">
      <alignment horizontal="center"/>
    </xf>
    <xf numFmtId="168" fontId="7" fillId="3" borderId="0" xfId="0" applyNumberFormat="1" applyFont="1" applyFill="1"/>
    <xf numFmtId="168" fontId="14" fillId="0" borderId="0" xfId="0" applyNumberFormat="1" applyFont="1"/>
    <xf numFmtId="0" fontId="5" fillId="0" borderId="12" xfId="0" applyFont="1" applyBorder="1"/>
    <xf numFmtId="169" fontId="8" fillId="0" borderId="12" xfId="0" applyNumberFormat="1" applyFont="1" applyBorder="1"/>
    <xf numFmtId="170" fontId="3" fillId="0" borderId="9" xfId="0" applyNumberFormat="1" applyFont="1" applyBorder="1"/>
    <xf numFmtId="0" fontId="15" fillId="0" borderId="27" xfId="0" applyFont="1" applyBorder="1" applyAlignment="1">
      <alignment horizontal="center"/>
    </xf>
    <xf numFmtId="4" fontId="15" fillId="0" borderId="27" xfId="0" applyNumberFormat="1" applyFont="1" applyBorder="1" applyAlignment="1">
      <alignment horizontal="center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88756</xdr:colOff>
      <xdr:row>1</xdr:row>
      <xdr:rowOff>134893</xdr:rowOff>
    </xdr:from>
    <xdr:to>
      <xdr:col>3</xdr:col>
      <xdr:colOff>328705</xdr:colOff>
      <xdr:row>8</xdr:row>
      <xdr:rowOff>21607</xdr:rowOff>
    </xdr:to>
    <xdr:pic>
      <xdr:nvPicPr>
        <xdr:cNvPr id="2" name="Bildobjekt 1">
          <a:extLst>
            <a:ext uri="{FF2B5EF4-FFF2-40B4-BE49-F238E27FC236}">
              <a16:creationId xmlns:a16="http://schemas.microsoft.com/office/drawing/2014/main" id="{736CFF05-5634-4BD6-B0DD-30CA19F4B3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7344" y="336599"/>
          <a:ext cx="3355185" cy="114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548CF3-A711-47C5-B8D9-81A228465778}">
  <dimension ref="B11:O70"/>
  <sheetViews>
    <sheetView showGridLines="0" topLeftCell="A2" zoomScale="85" zoomScaleNormal="85" workbookViewId="0">
      <selection activeCell="C20" sqref="C20"/>
    </sheetView>
  </sheetViews>
  <sheetFormatPr defaultColWidth="8.875" defaultRowHeight="14.1"/>
  <cols>
    <col min="1" max="1" width="4.625" style="2" customWidth="1"/>
    <col min="2" max="2" width="28.375" style="2" customWidth="1"/>
    <col min="3" max="3" width="12.5" style="2" bestFit="1" customWidth="1"/>
    <col min="4" max="4" width="14.625" style="2" customWidth="1"/>
    <col min="5" max="5" width="11.625" style="2" customWidth="1"/>
    <col min="6" max="6" width="11.875" style="2" customWidth="1"/>
    <col min="7" max="7" width="14.875" style="5" bestFit="1" customWidth="1"/>
    <col min="8" max="8" width="13" style="2" customWidth="1"/>
    <col min="9" max="14" width="8.875" style="2"/>
    <col min="15" max="15" width="11.625" style="2" bestFit="1" customWidth="1"/>
    <col min="16" max="16384" width="8.875" style="2"/>
  </cols>
  <sheetData>
    <row r="11" spans="2:3">
      <c r="B11" s="6" t="s">
        <v>0</v>
      </c>
      <c r="C11" s="7">
        <v>46023</v>
      </c>
    </row>
    <row r="12" spans="2:3">
      <c r="B12" s="6"/>
      <c r="C12" s="8"/>
    </row>
    <row r="13" spans="2:3">
      <c r="B13" s="2" t="s">
        <v>1</v>
      </c>
      <c r="C13" s="9" t="s">
        <v>2</v>
      </c>
    </row>
    <row r="14" spans="2:3">
      <c r="C14" s="9"/>
    </row>
    <row r="15" spans="2:3">
      <c r="B15" s="10" t="s">
        <v>3</v>
      </c>
      <c r="C15" s="11"/>
    </row>
    <row r="16" spans="2:3">
      <c r="B16" s="12" t="s">
        <v>4</v>
      </c>
      <c r="C16" s="13" t="s">
        <v>5</v>
      </c>
    </row>
    <row r="17" spans="2:7">
      <c r="B17" s="2" t="s">
        <v>6</v>
      </c>
      <c r="C17" s="14">
        <v>9.5</v>
      </c>
    </row>
    <row r="18" spans="2:7">
      <c r="B18" s="2" t="s">
        <v>7</v>
      </c>
      <c r="C18" s="14">
        <v>10.9</v>
      </c>
    </row>
    <row r="19" spans="2:7">
      <c r="B19" s="2" t="s">
        <v>8</v>
      </c>
      <c r="C19" s="14">
        <v>0.85</v>
      </c>
    </row>
    <row r="20" spans="2:7">
      <c r="B20" s="2" t="str">
        <f>+"Fuel Price"&amp;" "&amp;"-"&amp;" "&amp;+'1903 Aviation'!$C$16</f>
        <v>Fuel Price - EUR</v>
      </c>
      <c r="C20" s="14">
        <v>1.25</v>
      </c>
      <c r="D20" s="15"/>
    </row>
    <row r="28" spans="2:7">
      <c r="B28" s="16"/>
      <c r="C28" s="16"/>
      <c r="D28" s="5"/>
      <c r="E28" s="5"/>
      <c r="F28" s="5"/>
    </row>
    <row r="29" spans="2:7">
      <c r="D29" s="17"/>
      <c r="E29" s="1"/>
      <c r="G29" s="2"/>
    </row>
    <row r="30" spans="2:7">
      <c r="C30" s="18"/>
      <c r="D30" s="17"/>
      <c r="E30" s="1"/>
      <c r="G30" s="2"/>
    </row>
    <row r="31" spans="2:7">
      <c r="D31" s="17"/>
      <c r="E31" s="1"/>
      <c r="G31" s="2"/>
    </row>
    <row r="32" spans="2:7">
      <c r="D32" s="17"/>
      <c r="E32" s="1"/>
      <c r="G32" s="2"/>
    </row>
    <row r="33" spans="2:15">
      <c r="D33" s="17"/>
      <c r="E33" s="1"/>
      <c r="G33" s="2"/>
    </row>
    <row r="34" spans="2:15">
      <c r="C34" s="18"/>
      <c r="D34" s="17"/>
      <c r="E34" s="1"/>
      <c r="G34" s="2"/>
    </row>
    <row r="35" spans="2:15">
      <c r="C35" s="18"/>
      <c r="D35" s="17"/>
      <c r="E35" s="1"/>
      <c r="G35" s="2"/>
    </row>
    <row r="36" spans="2:15">
      <c r="C36" s="18"/>
      <c r="D36" s="17"/>
      <c r="E36" s="1"/>
      <c r="G36" s="2"/>
    </row>
    <row r="37" spans="2:15">
      <c r="C37" s="18"/>
      <c r="D37" s="17"/>
      <c r="E37" s="1"/>
      <c r="G37" s="2"/>
    </row>
    <row r="38" spans="2:15">
      <c r="B38" s="19"/>
      <c r="C38" s="18"/>
      <c r="D38" s="17"/>
      <c r="E38" s="1"/>
      <c r="G38" s="2"/>
    </row>
    <row r="39" spans="2:15">
      <c r="B39" s="19"/>
      <c r="C39" s="18"/>
      <c r="D39" s="17"/>
      <c r="E39" s="1"/>
      <c r="G39" s="2"/>
    </row>
    <row r="40" spans="2:15">
      <c r="B40" s="19"/>
      <c r="C40" s="18"/>
      <c r="D40" s="17"/>
      <c r="E40" s="1"/>
      <c r="G40" s="2"/>
    </row>
    <row r="41" spans="2:15">
      <c r="C41" s="18"/>
      <c r="D41" s="17"/>
      <c r="E41" s="1"/>
      <c r="G41" s="2"/>
    </row>
    <row r="42" spans="2:15">
      <c r="C42" s="20"/>
      <c r="D42" s="17"/>
      <c r="E42" s="1"/>
      <c r="G42" s="2"/>
      <c r="J42" s="21"/>
      <c r="M42" s="22"/>
      <c r="N42" s="4"/>
      <c r="O42" s="4"/>
    </row>
    <row r="43" spans="2:15">
      <c r="C43" s="20"/>
      <c r="D43" s="17"/>
      <c r="E43" s="1"/>
      <c r="G43" s="2"/>
      <c r="M43" s="22"/>
      <c r="N43" s="4"/>
      <c r="O43" s="4"/>
    </row>
    <row r="44" spans="2:15">
      <c r="C44" s="18"/>
      <c r="D44" s="17"/>
      <c r="E44" s="1"/>
      <c r="G44" s="2"/>
    </row>
    <row r="45" spans="2:15">
      <c r="C45" s="18"/>
      <c r="D45" s="17"/>
      <c r="E45" s="1"/>
      <c r="G45" s="2"/>
    </row>
    <row r="46" spans="2:15">
      <c r="C46" s="18"/>
      <c r="D46" s="17"/>
      <c r="E46" s="1"/>
      <c r="G46" s="2"/>
    </row>
    <row r="47" spans="2:15">
      <c r="C47" s="18"/>
      <c r="D47" s="17"/>
      <c r="E47" s="1"/>
      <c r="G47" s="2"/>
    </row>
    <row r="48" spans="2:15">
      <c r="C48" s="18"/>
      <c r="D48" s="17"/>
      <c r="E48" s="1"/>
      <c r="F48" s="1"/>
    </row>
    <row r="49" spans="2:8">
      <c r="C49" s="18"/>
      <c r="D49" s="23"/>
      <c r="E49" s="4"/>
      <c r="F49" s="4"/>
    </row>
    <row r="51" spans="2:8">
      <c r="B51" s="16"/>
      <c r="C51" s="16"/>
      <c r="D51" s="5"/>
      <c r="E51" s="5"/>
    </row>
    <row r="52" spans="2:8">
      <c r="D52" s="1"/>
      <c r="E52" s="1"/>
    </row>
    <row r="53" spans="2:8">
      <c r="C53" s="18"/>
      <c r="D53" s="1"/>
      <c r="E53" s="1"/>
      <c r="G53" s="2"/>
    </row>
    <row r="54" spans="2:8">
      <c r="C54" s="18"/>
      <c r="D54" s="1"/>
      <c r="E54" s="1"/>
      <c r="G54" s="2"/>
    </row>
    <row r="55" spans="2:8">
      <c r="B55" s="12"/>
      <c r="C55" s="24"/>
      <c r="D55" s="1"/>
      <c r="E55" s="1"/>
      <c r="G55" s="2"/>
    </row>
    <row r="56" spans="2:8">
      <c r="C56" s="18"/>
      <c r="D56" s="1"/>
      <c r="E56" s="1"/>
    </row>
    <row r="57" spans="2:8">
      <c r="C57" s="18"/>
      <c r="D57" s="17"/>
      <c r="E57" s="1"/>
      <c r="F57" s="1"/>
    </row>
    <row r="58" spans="2:8">
      <c r="D58" s="4"/>
      <c r="F58" s="4"/>
    </row>
    <row r="59" spans="2:8">
      <c r="D59" s="4"/>
      <c r="F59" s="4"/>
    </row>
    <row r="60" spans="2:8">
      <c r="D60" s="25"/>
      <c r="G60" s="1"/>
    </row>
    <row r="61" spans="2:8">
      <c r="C61" s="26"/>
      <c r="D61" s="27"/>
      <c r="G61" s="3"/>
      <c r="H61" s="4"/>
    </row>
    <row r="62" spans="2:8">
      <c r="B62" s="16"/>
      <c r="C62" s="24"/>
      <c r="D62" s="27"/>
      <c r="E62" s="25"/>
      <c r="F62" s="25"/>
      <c r="G62" s="3"/>
    </row>
    <row r="63" spans="2:8">
      <c r="F63" s="4"/>
      <c r="G63" s="28"/>
    </row>
    <row r="64" spans="2:8" ht="14.1" customHeight="1">
      <c r="B64" s="12"/>
      <c r="C64" s="1"/>
      <c r="G64" s="27"/>
    </row>
    <row r="65" spans="2:5">
      <c r="B65" s="12"/>
      <c r="C65" s="3"/>
      <c r="D65" s="29"/>
    </row>
    <row r="69" spans="2:5">
      <c r="C69" s="1"/>
      <c r="D69" s="1"/>
      <c r="E69" s="1"/>
    </row>
    <row r="70" spans="2:5">
      <c r="C70" s="1"/>
      <c r="D70" s="1"/>
      <c r="E70" s="1"/>
    </row>
  </sheetData>
  <dataValidations disablePrompts="1" count="1">
    <dataValidation type="list" allowBlank="1" showInputMessage="1" showErrorMessage="1" sqref="C16" xr:uid="{FA5AA328-E8DF-488E-80CF-0F2ED2CA8BF8}">
      <formula1>"EUR,USD,GBP,SEK,NOK,DKK,"</formula1>
    </dataValidation>
  </dataValidation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364339-0220-47AE-B043-B8FAA2D5C7E7}">
  <dimension ref="B2:K21"/>
  <sheetViews>
    <sheetView showGridLines="0" tabSelected="1" topLeftCell="A3" workbookViewId="0">
      <selection activeCell="C11" sqref="C11"/>
    </sheetView>
  </sheetViews>
  <sheetFormatPr defaultColWidth="8.625" defaultRowHeight="14.1"/>
  <cols>
    <col min="1" max="1" width="8.625" style="2"/>
    <col min="2" max="2" width="23.125" style="2" bestFit="1" customWidth="1"/>
    <col min="3" max="3" width="13.375" style="2" customWidth="1"/>
    <col min="4" max="4" width="9.125" style="2" bestFit="1" customWidth="1"/>
    <col min="5" max="5" width="11" style="2" customWidth="1"/>
    <col min="6" max="6" width="16.375" style="2" bestFit="1" customWidth="1"/>
    <col min="7" max="16384" width="8.625" style="2"/>
  </cols>
  <sheetData>
    <row r="2" spans="2:11" ht="15" thickBot="1">
      <c r="B2" s="35" t="s">
        <v>9</v>
      </c>
      <c r="C2" s="35"/>
      <c r="D2" s="35"/>
      <c r="E2" s="35"/>
      <c r="F2" s="35"/>
      <c r="G2" s="35"/>
      <c r="H2" s="35"/>
      <c r="I2" s="35"/>
      <c r="J2" s="35"/>
      <c r="K2" s="35"/>
    </row>
    <row r="4" spans="2:11">
      <c r="B4" s="87" t="str">
        <f>+'1903 Aviation'!C16</f>
        <v>EUR</v>
      </c>
      <c r="C4" s="88" t="s">
        <v>10</v>
      </c>
      <c r="D4" s="89" t="s">
        <v>11</v>
      </c>
      <c r="F4" s="10" t="s">
        <v>12</v>
      </c>
      <c r="G4" s="85" t="s">
        <v>13</v>
      </c>
    </row>
    <row r="5" spans="2:11">
      <c r="B5" s="42" t="s">
        <v>14</v>
      </c>
      <c r="C5" s="86">
        <f>+'Fixed costs'!H26</f>
        <v>2277076.009174312</v>
      </c>
      <c r="D5" s="90">
        <f>+'Fixed costs'!I26</f>
        <v>189756.33409785936</v>
      </c>
      <c r="F5" s="2" t="s">
        <v>15</v>
      </c>
      <c r="G5" s="81">
        <v>200</v>
      </c>
    </row>
    <row r="6" spans="2:11">
      <c r="B6" s="91" t="str">
        <f>+B4</f>
        <v>EUR</v>
      </c>
      <c r="C6" s="85" t="s">
        <v>16</v>
      </c>
      <c r="D6" s="92"/>
      <c r="F6" s="2" t="s">
        <v>17</v>
      </c>
      <c r="G6" s="81">
        <v>100</v>
      </c>
    </row>
    <row r="7" spans="2:11">
      <c r="B7" s="93" t="s">
        <v>18</v>
      </c>
      <c r="C7" s="94">
        <f>+'Variable costs'!I9</f>
        <v>4027.5</v>
      </c>
      <c r="D7" s="95"/>
      <c r="F7" s="11" t="s">
        <v>19</v>
      </c>
      <c r="G7" s="82">
        <v>200</v>
      </c>
    </row>
    <row r="8" spans="2:11" ht="15" thickBot="1">
      <c r="F8" s="83" t="s">
        <v>20</v>
      </c>
      <c r="G8" s="84">
        <f>+SUM(G5:G7)</f>
        <v>500</v>
      </c>
    </row>
    <row r="9" spans="2:11">
      <c r="B9" s="10" t="s">
        <v>21</v>
      </c>
      <c r="C9" s="11"/>
      <c r="D9" s="25"/>
    </row>
    <row r="10" spans="2:11">
      <c r="B10" s="2" t="str">
        <f>+"Charter price"&amp;" "&amp;+'1903 Aviation'!$C$16</f>
        <v>Charter price EUR</v>
      </c>
      <c r="C10" s="96">
        <v>7500</v>
      </c>
      <c r="D10" s="25"/>
    </row>
    <row r="11" spans="2:11">
      <c r="B11" s="2" t="str">
        <f>+"Charter cost"&amp;" "&amp;+'1903 Aviation'!$C$16</f>
        <v>Charter cost EUR</v>
      </c>
      <c r="C11" s="97">
        <f>+C7</f>
        <v>4027.5</v>
      </c>
      <c r="D11" s="25"/>
    </row>
    <row r="12" spans="2:11">
      <c r="B12" s="2" t="s">
        <v>22</v>
      </c>
      <c r="C12" s="97">
        <f>+G7</f>
        <v>200</v>
      </c>
      <c r="D12" s="25"/>
    </row>
    <row r="13" spans="2:11" ht="15" thickBot="1">
      <c r="B13" s="98" t="s">
        <v>23</v>
      </c>
      <c r="C13" s="99">
        <f>+(C10-C11)*C12</f>
        <v>694500</v>
      </c>
      <c r="D13" s="27"/>
      <c r="E13" s="25"/>
    </row>
    <row r="15" spans="2:11">
      <c r="B15" s="16" t="s">
        <v>24</v>
      </c>
      <c r="C15" s="27">
        <f>C5-C13</f>
        <v>1582576.009174312</v>
      </c>
    </row>
    <row r="16" spans="2:11">
      <c r="B16" s="16" t="s">
        <v>25</v>
      </c>
      <c r="C16" s="28">
        <f>C15/12</f>
        <v>131881.33409785933</v>
      </c>
      <c r="D16" s="29"/>
    </row>
    <row r="18" spans="2:5">
      <c r="B18" s="10" t="str">
        <f>+"Yearly budget"&amp;" "&amp;+'1903 Aviation'!$C$16</f>
        <v>Yearly budget EUR</v>
      </c>
      <c r="C18" s="10" t="s">
        <v>26</v>
      </c>
      <c r="D18" s="10" t="s">
        <v>27</v>
      </c>
      <c r="E18" s="10" t="s">
        <v>28</v>
      </c>
    </row>
    <row r="19" spans="2:5">
      <c r="B19" s="2" t="s">
        <v>29</v>
      </c>
      <c r="C19" s="1">
        <f>(C15/('Cost per owner'!G5+'Cost per owner'!G6))*'Cost per owner'!G5</f>
        <v>1055050.6727828747</v>
      </c>
      <c r="D19" s="1">
        <f>C19/12</f>
        <v>87920.889398572894</v>
      </c>
      <c r="E19" s="1">
        <f>(C19/'Cost per owner'!G5)+C7</f>
        <v>9302.753363914373</v>
      </c>
    </row>
    <row r="20" spans="2:5">
      <c r="B20" s="11" t="s">
        <v>30</v>
      </c>
      <c r="C20" s="100">
        <f>(C15/(G5+G6))*'Cost per owner'!G6</f>
        <v>527525.33639143733</v>
      </c>
      <c r="D20" s="100">
        <f>C20/12</f>
        <v>43960.444699286447</v>
      </c>
      <c r="E20" s="100">
        <f>(C20/'Cost per owner'!G6)+C7</f>
        <v>9302.753363914373</v>
      </c>
    </row>
    <row r="21" spans="2:5">
      <c r="B21" s="75" t="s">
        <v>31</v>
      </c>
      <c r="C21" s="75"/>
      <c r="D21" s="75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1C30B8-DBCE-4C91-B81C-0C59722617E5}">
  <dimension ref="B2:W33"/>
  <sheetViews>
    <sheetView showGridLines="0" zoomScale="70" zoomScaleNormal="70" workbookViewId="0">
      <selection activeCell="I27" sqref="I27"/>
    </sheetView>
  </sheetViews>
  <sheetFormatPr defaultColWidth="8.875" defaultRowHeight="14.1"/>
  <cols>
    <col min="1" max="1" width="4.625" style="2" customWidth="1"/>
    <col min="2" max="2" width="33.375" style="2" bestFit="1" customWidth="1"/>
    <col min="3" max="3" width="13.5" style="2" bestFit="1" customWidth="1"/>
    <col min="4" max="4" width="3.625" style="2" customWidth="1"/>
    <col min="5" max="5" width="33.125" style="2" customWidth="1"/>
    <col min="6" max="6" width="22.875" style="2" bestFit="1" customWidth="1"/>
    <col min="7" max="7" width="22.875" style="2" customWidth="1"/>
    <col min="8" max="8" width="14.625" style="2" customWidth="1"/>
    <col min="9" max="9" width="11.625" style="2" customWidth="1"/>
    <col min="10" max="10" width="3.5" style="2" customWidth="1"/>
    <col min="11" max="11" width="45.125" style="2" bestFit="1" customWidth="1"/>
    <col min="12" max="14" width="11.875" style="2" customWidth="1"/>
    <col min="15" max="15" width="14.875" style="5" bestFit="1" customWidth="1"/>
    <col min="16" max="16" width="13" style="2" customWidth="1"/>
    <col min="17" max="22" width="8.875" style="2"/>
    <col min="23" max="23" width="11.625" style="2" bestFit="1" customWidth="1"/>
    <col min="24" max="16384" width="8.875" style="2"/>
  </cols>
  <sheetData>
    <row r="2" spans="2:15" ht="15" thickBot="1">
      <c r="B2" s="35" t="s">
        <v>32</v>
      </c>
      <c r="C2" s="35"/>
      <c r="D2" s="35"/>
      <c r="E2" s="35"/>
      <c r="F2" s="35"/>
      <c r="G2" s="35"/>
      <c r="H2" s="35"/>
      <c r="I2" s="35"/>
      <c r="J2" s="35"/>
      <c r="K2" s="35"/>
    </row>
    <row r="3" spans="2:15" ht="15" thickBot="1"/>
    <row r="4" spans="2:15">
      <c r="B4" s="36" t="s">
        <v>33</v>
      </c>
      <c r="C4" s="37">
        <v>2</v>
      </c>
      <c r="D4" s="9"/>
      <c r="E4" s="30" t="s">
        <v>32</v>
      </c>
      <c r="F4" s="38" t="s">
        <v>34</v>
      </c>
      <c r="G4" s="39" t="s">
        <v>35</v>
      </c>
      <c r="H4" s="38" t="str">
        <f>+"Year"&amp;" "&amp;+'1903 Aviation'!$C$16</f>
        <v>Year EUR</v>
      </c>
      <c r="I4" s="40" t="str">
        <f>+"Month"&amp;" "&amp;+'1903 Aviation'!$C$16</f>
        <v>Month EUR</v>
      </c>
      <c r="K4" s="41" t="s">
        <v>36</v>
      </c>
    </row>
    <row r="5" spans="2:15">
      <c r="B5" s="42" t="s">
        <v>37</v>
      </c>
      <c r="C5" s="43">
        <f>1536000/'1903 Aviation'!C18*C4</f>
        <v>281834.86238532112</v>
      </c>
      <c r="D5" s="44"/>
      <c r="E5" s="31" t="s">
        <v>38</v>
      </c>
      <c r="F5" s="45"/>
      <c r="G5" s="46"/>
      <c r="H5" s="47">
        <f>+C8</f>
        <v>493211.00917431194</v>
      </c>
      <c r="I5" s="48">
        <f>SUM(H5)/12</f>
        <v>41100.917431192662</v>
      </c>
      <c r="K5" s="49" t="s">
        <v>39</v>
      </c>
    </row>
    <row r="6" spans="2:15">
      <c r="B6" s="42" t="s">
        <v>40</v>
      </c>
      <c r="C6" s="43">
        <v>2</v>
      </c>
      <c r="D6" s="44"/>
      <c r="E6" s="21" t="s">
        <v>41</v>
      </c>
      <c r="F6" s="50"/>
      <c r="G6" s="51"/>
      <c r="H6" s="52">
        <f>+C12</f>
        <v>76800</v>
      </c>
      <c r="I6" s="53">
        <f>H6/12</f>
        <v>6400</v>
      </c>
      <c r="K6" s="49" t="s">
        <v>42</v>
      </c>
    </row>
    <row r="7" spans="2:15">
      <c r="B7" s="42" t="s">
        <v>43</v>
      </c>
      <c r="C7" s="43">
        <f>1152000/'1903 Aviation'!C18*C6</f>
        <v>211376.14678899082</v>
      </c>
      <c r="D7" s="44"/>
      <c r="E7" s="21" t="s">
        <v>44</v>
      </c>
      <c r="F7" s="54"/>
      <c r="G7" s="55"/>
      <c r="H7" s="52">
        <f>+C16</f>
        <v>76800</v>
      </c>
      <c r="I7" s="53">
        <f>SUM(H7)/12</f>
        <v>6400</v>
      </c>
      <c r="K7" s="49" t="s">
        <v>45</v>
      </c>
    </row>
    <row r="8" spans="2:15">
      <c r="B8" s="56" t="str">
        <f>+"Total cost crew (yearly)"&amp;" "&amp;+'1903 Aviation'!$C$16</f>
        <v>Total cost crew (yearly) EUR</v>
      </c>
      <c r="C8" s="57">
        <f>+C7+C5</f>
        <v>493211.00917431194</v>
      </c>
      <c r="D8" s="58"/>
      <c r="E8" s="21" t="s">
        <v>46</v>
      </c>
      <c r="F8" s="59">
        <v>9000</v>
      </c>
      <c r="G8" s="60"/>
      <c r="H8" s="61">
        <f>IF(F8&lt;&gt;"", F8, IF(G8&lt;&gt;"", G8*$C$18, ""))</f>
        <v>9000</v>
      </c>
      <c r="I8" s="53">
        <f>SUM(H8)/12</f>
        <v>750</v>
      </c>
      <c r="K8" s="49" t="s">
        <v>47</v>
      </c>
    </row>
    <row r="9" spans="2:15">
      <c r="E9" s="21" t="s">
        <v>48</v>
      </c>
      <c r="F9" s="59">
        <v>180000</v>
      </c>
      <c r="G9" s="60"/>
      <c r="H9" s="61">
        <f t="shared" ref="H9:H25" si="0">IF(F9&lt;&gt;"", F9, IF(G9&lt;&gt;"", G9*$C$18, ""))</f>
        <v>180000</v>
      </c>
      <c r="I9" s="53">
        <f>SUM(H9)/12</f>
        <v>15000</v>
      </c>
      <c r="K9" s="49" t="s">
        <v>49</v>
      </c>
    </row>
    <row r="10" spans="2:15">
      <c r="B10" s="36" t="s">
        <v>50</v>
      </c>
      <c r="C10" s="37">
        <v>1</v>
      </c>
      <c r="D10" s="9"/>
      <c r="E10" s="21" t="s">
        <v>51</v>
      </c>
      <c r="F10" s="59">
        <v>55000</v>
      </c>
      <c r="G10" s="60"/>
      <c r="H10" s="61">
        <f t="shared" si="0"/>
        <v>55000</v>
      </c>
      <c r="I10" s="53">
        <f>H10/12</f>
        <v>4583.333333333333</v>
      </c>
      <c r="J10" s="5"/>
      <c r="K10" s="49" t="s">
        <v>52</v>
      </c>
      <c r="L10" s="5"/>
      <c r="M10" s="5"/>
      <c r="N10" s="5"/>
    </row>
    <row r="11" spans="2:15">
      <c r="B11" s="42" t="s">
        <v>53</v>
      </c>
      <c r="C11" s="43">
        <v>76800</v>
      </c>
      <c r="D11" s="44"/>
      <c r="E11" s="21" t="s">
        <v>54</v>
      </c>
      <c r="F11" s="59">
        <v>343000</v>
      </c>
      <c r="G11" s="60"/>
      <c r="H11" s="61">
        <f t="shared" si="0"/>
        <v>343000</v>
      </c>
      <c r="I11" s="53">
        <f>H11/12</f>
        <v>28583.333333333332</v>
      </c>
      <c r="K11" s="49" t="s">
        <v>55</v>
      </c>
      <c r="O11" s="2"/>
    </row>
    <row r="12" spans="2:15">
      <c r="B12" s="56" t="str">
        <f>+"Total cost cabin crew (yearly)"&amp;" "&amp;+'1903 Aviation'!$C$16</f>
        <v>Total cost cabin crew (yearly) EUR</v>
      </c>
      <c r="C12" s="57">
        <f>+C11*C10</f>
        <v>76800</v>
      </c>
      <c r="D12" s="58"/>
      <c r="E12" s="21" t="s">
        <v>56</v>
      </c>
      <c r="F12" s="59"/>
      <c r="G12" s="60">
        <f>330000+(1320*200)</f>
        <v>594000</v>
      </c>
      <c r="H12" s="61">
        <f t="shared" si="0"/>
        <v>504900</v>
      </c>
      <c r="I12" s="53">
        <f t="shared" ref="I12:I17" si="1">SUM(H12)/12</f>
        <v>42075</v>
      </c>
      <c r="K12" s="49" t="s">
        <v>57</v>
      </c>
      <c r="O12" s="2"/>
    </row>
    <row r="13" spans="2:15">
      <c r="C13" s="5"/>
      <c r="D13" s="5"/>
      <c r="E13" s="21" t="s">
        <v>58</v>
      </c>
      <c r="F13" s="59"/>
      <c r="G13" s="60">
        <v>20000</v>
      </c>
      <c r="H13" s="61">
        <f t="shared" si="0"/>
        <v>17000</v>
      </c>
      <c r="I13" s="53">
        <f t="shared" si="1"/>
        <v>1416.6666666666667</v>
      </c>
      <c r="K13" s="49" t="s">
        <v>59</v>
      </c>
      <c r="O13" s="2"/>
    </row>
    <row r="14" spans="2:15">
      <c r="B14" s="36" t="s">
        <v>60</v>
      </c>
      <c r="C14" s="37">
        <v>0.5</v>
      </c>
      <c r="D14" s="5"/>
      <c r="E14" s="33" t="s">
        <v>61</v>
      </c>
      <c r="F14" s="59"/>
      <c r="G14" s="60">
        <v>13700</v>
      </c>
      <c r="H14" s="61">
        <f t="shared" si="0"/>
        <v>11645</v>
      </c>
      <c r="I14" s="53">
        <f t="shared" si="1"/>
        <v>970.41666666666663</v>
      </c>
      <c r="K14" s="49" t="s">
        <v>62</v>
      </c>
      <c r="O14" s="2"/>
    </row>
    <row r="15" spans="2:15">
      <c r="B15" s="42" t="s">
        <v>63</v>
      </c>
      <c r="C15" s="43">
        <v>153600</v>
      </c>
      <c r="D15" s="5"/>
      <c r="E15" s="33" t="s">
        <v>64</v>
      </c>
      <c r="F15" s="59"/>
      <c r="G15" s="60">
        <v>20800</v>
      </c>
      <c r="H15" s="61">
        <f t="shared" si="0"/>
        <v>17680</v>
      </c>
      <c r="I15" s="53">
        <f t="shared" si="1"/>
        <v>1473.3333333333333</v>
      </c>
      <c r="K15" s="49" t="s">
        <v>65</v>
      </c>
      <c r="O15" s="2"/>
    </row>
    <row r="16" spans="2:15">
      <c r="B16" s="56" t="str">
        <f>+"Total cost flight engineer (yearly)"&amp;" "&amp;+'1903 Aviation'!$C$16</f>
        <v>Total cost flight engineer (yearly) EUR</v>
      </c>
      <c r="C16" s="57">
        <f>+C15*C14</f>
        <v>76800</v>
      </c>
      <c r="D16" s="5"/>
      <c r="E16" s="33" t="s">
        <v>66</v>
      </c>
      <c r="F16" s="59"/>
      <c r="G16" s="60">
        <v>30000</v>
      </c>
      <c r="H16" s="61">
        <f t="shared" si="0"/>
        <v>25500</v>
      </c>
      <c r="I16" s="53">
        <f t="shared" si="1"/>
        <v>2125</v>
      </c>
      <c r="K16" s="49" t="s">
        <v>67</v>
      </c>
      <c r="O16" s="2"/>
    </row>
    <row r="17" spans="2:23" ht="15" thickBot="1">
      <c r="C17" s="5"/>
      <c r="D17" s="5"/>
      <c r="E17" s="33" t="s">
        <v>68</v>
      </c>
      <c r="F17" s="59"/>
      <c r="G17" s="60">
        <v>29500</v>
      </c>
      <c r="H17" s="61">
        <f t="shared" si="0"/>
        <v>25075</v>
      </c>
      <c r="I17" s="53">
        <f t="shared" si="1"/>
        <v>2089.5833333333335</v>
      </c>
      <c r="K17" s="49" t="s">
        <v>69</v>
      </c>
      <c r="O17" s="2"/>
    </row>
    <row r="18" spans="2:23" ht="15" thickBot="1">
      <c r="B18" s="73" t="str">
        <f>+'1903 Aviation'!B19</f>
        <v>USD / EUR</v>
      </c>
      <c r="C18" s="101">
        <f>+'1903 Aviation'!C19</f>
        <v>0.85</v>
      </c>
      <c r="D18" s="5"/>
      <c r="E18" s="21" t="s">
        <v>70</v>
      </c>
      <c r="F18" s="59"/>
      <c r="G18" s="62">
        <v>40000</v>
      </c>
      <c r="H18" s="61">
        <f t="shared" si="0"/>
        <v>34000</v>
      </c>
      <c r="I18" s="53">
        <f>SUM(H18/12)</f>
        <v>2833.3333333333335</v>
      </c>
      <c r="K18" s="49" t="s">
        <v>71</v>
      </c>
      <c r="O18" s="2"/>
    </row>
    <row r="19" spans="2:23">
      <c r="C19" s="5"/>
      <c r="D19" s="5"/>
      <c r="E19" s="21" t="s">
        <v>72</v>
      </c>
      <c r="F19" s="59">
        <v>4000</v>
      </c>
      <c r="G19" s="60"/>
      <c r="H19" s="61">
        <f t="shared" si="0"/>
        <v>4000</v>
      </c>
      <c r="I19" s="53">
        <f>SUM(H19/12)</f>
        <v>333.33333333333331</v>
      </c>
      <c r="K19" s="49" t="s">
        <v>73</v>
      </c>
      <c r="O19" s="2"/>
    </row>
    <row r="20" spans="2:23">
      <c r="C20" s="63"/>
      <c r="D20" s="63"/>
      <c r="E20" s="21" t="s">
        <v>74</v>
      </c>
      <c r="F20" s="59">
        <v>130000</v>
      </c>
      <c r="G20" s="60"/>
      <c r="H20" s="61">
        <f t="shared" si="0"/>
        <v>130000</v>
      </c>
      <c r="I20" s="53">
        <f>SUM(H20/12)</f>
        <v>10833.333333333334</v>
      </c>
      <c r="K20" s="49" t="s">
        <v>75</v>
      </c>
      <c r="O20" s="2"/>
    </row>
    <row r="21" spans="2:23">
      <c r="C21" s="63"/>
      <c r="D21" s="63"/>
      <c r="E21" s="21" t="s">
        <v>76</v>
      </c>
      <c r="F21" s="59">
        <v>215000</v>
      </c>
      <c r="G21" s="60"/>
      <c r="H21" s="61">
        <f t="shared" si="0"/>
        <v>215000</v>
      </c>
      <c r="I21" s="53">
        <f>H21/12</f>
        <v>17916.666666666668</v>
      </c>
      <c r="K21" s="49" t="s">
        <v>77</v>
      </c>
      <c r="O21" s="2"/>
    </row>
    <row r="22" spans="2:23">
      <c r="C22" s="63"/>
      <c r="D22" s="63"/>
      <c r="E22" s="21" t="s">
        <v>78</v>
      </c>
      <c r="F22" s="59">
        <v>5000</v>
      </c>
      <c r="G22" s="60"/>
      <c r="H22" s="61">
        <f t="shared" si="0"/>
        <v>5000</v>
      </c>
      <c r="I22" s="53">
        <f>H22/12</f>
        <v>416.66666666666669</v>
      </c>
      <c r="K22" s="49" t="s">
        <v>79</v>
      </c>
      <c r="O22" s="2"/>
    </row>
    <row r="23" spans="2:23" ht="15" thickBot="1">
      <c r="C23" s="63"/>
      <c r="D23" s="63"/>
      <c r="E23" s="21" t="s">
        <v>80</v>
      </c>
      <c r="F23" s="64">
        <v>25000</v>
      </c>
      <c r="G23" s="60"/>
      <c r="H23" s="61">
        <f t="shared" si="0"/>
        <v>25000</v>
      </c>
      <c r="I23" s="65">
        <f>SUM(H23)/12</f>
        <v>2083.3333333333335</v>
      </c>
      <c r="K23" s="66" t="s">
        <v>81</v>
      </c>
      <c r="O23" s="2"/>
    </row>
    <row r="24" spans="2:23">
      <c r="C24" s="5"/>
      <c r="D24" s="5"/>
      <c r="E24" s="21" t="s">
        <v>82</v>
      </c>
      <c r="F24" s="59">
        <v>9000</v>
      </c>
      <c r="G24" s="60"/>
      <c r="H24" s="61">
        <f t="shared" si="0"/>
        <v>9000</v>
      </c>
      <c r="I24" s="65">
        <f t="shared" ref="I24:I25" si="2">SUM(H24)/12</f>
        <v>750</v>
      </c>
      <c r="K24" s="49"/>
      <c r="O24" s="2"/>
      <c r="R24" s="21"/>
      <c r="U24" s="22"/>
      <c r="V24" s="4"/>
      <c r="W24" s="4"/>
    </row>
    <row r="25" spans="2:23">
      <c r="C25" s="5"/>
      <c r="D25" s="5"/>
      <c r="E25" s="21" t="s">
        <v>83</v>
      </c>
      <c r="F25" s="59"/>
      <c r="G25" s="60">
        <v>22900</v>
      </c>
      <c r="H25" s="61">
        <f t="shared" si="0"/>
        <v>19465</v>
      </c>
      <c r="I25" s="65">
        <f t="shared" si="2"/>
        <v>1622.0833333333333</v>
      </c>
      <c r="K25" s="49"/>
      <c r="O25" s="2"/>
      <c r="U25" s="22"/>
      <c r="V25" s="4"/>
      <c r="W25" s="4"/>
    </row>
    <row r="26" spans="2:23">
      <c r="C26" s="5"/>
      <c r="D26" s="5"/>
      <c r="E26" s="67" t="s">
        <v>84</v>
      </c>
      <c r="F26" s="68"/>
      <c r="G26" s="69"/>
      <c r="H26" s="70">
        <f>SUM(H5:H25)</f>
        <v>2277076.009174312</v>
      </c>
      <c r="I26" s="71">
        <f>SUM(I5:I25)</f>
        <v>189756.33409785936</v>
      </c>
      <c r="O26" s="2"/>
    </row>
    <row r="27" spans="2:23">
      <c r="C27" s="5"/>
      <c r="D27" s="5"/>
      <c r="O27" s="2"/>
    </row>
    <row r="28" spans="2:23">
      <c r="C28" s="5"/>
      <c r="D28" s="5"/>
      <c r="O28" s="2"/>
    </row>
    <row r="29" spans="2:23">
      <c r="C29" s="5"/>
      <c r="D29" s="5"/>
      <c r="O29" s="2"/>
    </row>
    <row r="30" spans="2:23">
      <c r="C30" s="72"/>
      <c r="D30" s="72"/>
      <c r="L30" s="1"/>
      <c r="M30" s="1"/>
      <c r="N30" s="1"/>
    </row>
    <row r="31" spans="2:23">
      <c r="L31" s="4"/>
      <c r="M31" s="4"/>
      <c r="N31" s="4"/>
    </row>
    <row r="32" spans="2:23">
      <c r="J32" s="1"/>
      <c r="K32" s="1"/>
    </row>
    <row r="33" spans="6:11">
      <c r="F33" s="18"/>
      <c r="G33" s="18"/>
      <c r="H33" s="22"/>
      <c r="I33" s="4"/>
      <c r="J33" s="4"/>
      <c r="K33" s="4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021EF6-5156-B046-998B-CFFCB51F2CA7}">
  <dimension ref="B2:N23"/>
  <sheetViews>
    <sheetView showGridLines="0" zoomScale="70" zoomScaleNormal="70" workbookViewId="0">
      <selection activeCell="F6" sqref="F6"/>
    </sheetView>
  </sheetViews>
  <sheetFormatPr defaultColWidth="8.875" defaultRowHeight="14.1"/>
  <cols>
    <col min="1" max="1" width="4.625" style="2" customWidth="1"/>
    <col min="2" max="2" width="14.875" style="2" bestFit="1" customWidth="1"/>
    <col min="3" max="3" width="4.625" style="2" bestFit="1" customWidth="1"/>
    <col min="4" max="4" width="3.125" style="2" customWidth="1"/>
    <col min="5" max="5" width="25.875" style="2" customWidth="1"/>
    <col min="6" max="6" width="21.625" style="2" customWidth="1"/>
    <col min="7" max="7" width="19.625" style="2" bestFit="1" customWidth="1"/>
    <col min="8" max="8" width="21.625" style="2" bestFit="1" customWidth="1"/>
    <col min="9" max="9" width="8.125" style="2" customWidth="1"/>
    <col min="10" max="10" width="3.875" style="5" customWidth="1"/>
    <col min="11" max="11" width="49.125" style="2" bestFit="1" customWidth="1"/>
    <col min="12" max="17" width="8.875" style="2"/>
    <col min="18" max="18" width="11.625" style="2" bestFit="1" customWidth="1"/>
    <col min="19" max="16384" width="8.875" style="2"/>
  </cols>
  <sheetData>
    <row r="2" spans="2:14" ht="15" thickBot="1">
      <c r="B2" s="35" t="s">
        <v>85</v>
      </c>
      <c r="C2" s="35"/>
      <c r="D2" s="35"/>
      <c r="E2" s="35"/>
      <c r="F2" s="35"/>
      <c r="G2" s="35"/>
      <c r="H2" s="35"/>
      <c r="I2" s="35"/>
      <c r="J2" s="35"/>
      <c r="K2" s="35"/>
      <c r="L2" s="35"/>
      <c r="M2" s="35"/>
      <c r="N2" s="35"/>
    </row>
    <row r="3" spans="2:14" ht="15" thickBot="1"/>
    <row r="4" spans="2:14" ht="15" thickBot="1">
      <c r="B4" s="73" t="str">
        <f>+'1903 Aviation'!B19</f>
        <v>USD / EUR</v>
      </c>
      <c r="C4" s="102">
        <f>+'1903 Aviation'!C19</f>
        <v>0.85</v>
      </c>
      <c r="E4" s="74" t="s">
        <v>86</v>
      </c>
      <c r="F4" s="76" t="s">
        <v>87</v>
      </c>
      <c r="G4" s="76" t="s">
        <v>88</v>
      </c>
      <c r="H4" s="76" t="s">
        <v>89</v>
      </c>
      <c r="I4" s="78" t="s">
        <v>13</v>
      </c>
      <c r="K4" s="41" t="s">
        <v>36</v>
      </c>
    </row>
    <row r="5" spans="2:14" ht="15" thickBot="1">
      <c r="B5" s="73" t="str">
        <f>+'1903 Aviation'!B20</f>
        <v>Fuel Price - EUR</v>
      </c>
      <c r="C5" s="101">
        <f>+'1903 Aviation'!C20</f>
        <v>1.25</v>
      </c>
      <c r="E5" s="21" t="s">
        <v>90</v>
      </c>
      <c r="F5" s="77">
        <v>1600</v>
      </c>
      <c r="G5" s="50"/>
      <c r="H5" s="80"/>
      <c r="I5" s="53">
        <f>+F5*C5</f>
        <v>2000</v>
      </c>
      <c r="J5" s="1"/>
      <c r="K5" s="49"/>
    </row>
    <row r="6" spans="2:14">
      <c r="E6" s="21" t="s">
        <v>91</v>
      </c>
      <c r="F6" s="50"/>
      <c r="G6" s="59"/>
      <c r="H6" s="60">
        <v>500</v>
      </c>
      <c r="I6" s="53">
        <f>IF(G6&lt;&gt;"", G6, IF(H6&lt;&gt;"", H6*$C$4, ""))</f>
        <v>425</v>
      </c>
      <c r="J6" s="1"/>
      <c r="K6" s="49" t="s">
        <v>92</v>
      </c>
    </row>
    <row r="7" spans="2:14">
      <c r="E7" s="21" t="s">
        <v>93</v>
      </c>
      <c r="F7" s="50"/>
      <c r="G7" s="59">
        <v>205</v>
      </c>
      <c r="H7" s="60"/>
      <c r="I7" s="53">
        <f>IF(G7&lt;&gt;"", G7, IF(H7&lt;&gt;"", H7*$C$4, ""))*0.5</f>
        <v>102.5</v>
      </c>
      <c r="J7" s="1"/>
      <c r="K7" s="49" t="s">
        <v>94</v>
      </c>
    </row>
    <row r="8" spans="2:14" ht="15" thickBot="1">
      <c r="E8" s="34" t="s">
        <v>95</v>
      </c>
      <c r="F8" s="50"/>
      <c r="G8" s="59">
        <v>1500</v>
      </c>
      <c r="H8" s="60"/>
      <c r="I8" s="53">
        <f>IF(G8&lt;&gt;"", G8, IF(H8&lt;&gt;"", H8*$C$4, ""))</f>
        <v>1500</v>
      </c>
      <c r="J8" s="1"/>
      <c r="K8" s="66" t="s">
        <v>96</v>
      </c>
    </row>
    <row r="9" spans="2:14" ht="15.95" thickTop="1" thickBot="1">
      <c r="E9" s="67" t="s">
        <v>84</v>
      </c>
      <c r="F9" s="79"/>
      <c r="G9" s="79"/>
      <c r="H9" s="79"/>
      <c r="I9" s="71">
        <f>SUM(I5:I8)</f>
        <v>4027.5</v>
      </c>
      <c r="J9" s="1"/>
    </row>
    <row r="10" spans="2:14">
      <c r="E10" s="75" t="s">
        <v>97</v>
      </c>
      <c r="F10" s="75"/>
      <c r="G10" s="75"/>
      <c r="H10" s="75"/>
      <c r="I10" s="32"/>
      <c r="J10" s="1"/>
      <c r="K10" s="1"/>
    </row>
    <row r="11" spans="2:14">
      <c r="E11" s="4"/>
      <c r="F11" s="4"/>
      <c r="G11" s="4"/>
      <c r="H11" s="4"/>
      <c r="I11" s="4"/>
    </row>
    <row r="12" spans="2:14">
      <c r="E12" s="4"/>
      <c r="F12" s="4"/>
      <c r="G12" s="4"/>
      <c r="H12" s="4"/>
      <c r="I12" s="4"/>
    </row>
    <row r="13" spans="2:14">
      <c r="E13" s="25"/>
      <c r="F13" s="25"/>
      <c r="G13" s="25"/>
      <c r="H13" s="25"/>
      <c r="J13" s="1"/>
    </row>
    <row r="14" spans="2:14">
      <c r="D14" s="26"/>
      <c r="E14" s="27"/>
      <c r="F14" s="27"/>
      <c r="G14" s="27"/>
      <c r="H14" s="27"/>
      <c r="J14" s="3"/>
      <c r="K14" s="4"/>
    </row>
    <row r="15" spans="2:14">
      <c r="B15" s="16"/>
      <c r="C15" s="16"/>
      <c r="D15" s="24"/>
      <c r="E15" s="27"/>
      <c r="F15" s="27"/>
      <c r="G15" s="27"/>
      <c r="H15" s="27"/>
      <c r="I15" s="25"/>
      <c r="J15" s="3"/>
    </row>
    <row r="16" spans="2:14">
      <c r="I16" s="4"/>
      <c r="J16" s="28"/>
    </row>
    <row r="17" spans="2:10" ht="14.1" customHeight="1">
      <c r="B17" s="12"/>
      <c r="C17" s="12"/>
      <c r="D17" s="1"/>
      <c r="J17" s="27"/>
    </row>
    <row r="18" spans="2:10">
      <c r="B18" s="12"/>
      <c r="C18" s="12"/>
      <c r="D18" s="3"/>
      <c r="E18" s="29"/>
      <c r="F18" s="29"/>
      <c r="G18" s="29"/>
      <c r="H18" s="29"/>
    </row>
    <row r="22" spans="2:10">
      <c r="D22" s="1"/>
      <c r="E22" s="1"/>
      <c r="F22" s="1"/>
      <c r="G22" s="1"/>
      <c r="H22" s="1"/>
    </row>
    <row r="23" spans="2:10">
      <c r="D23" s="1"/>
      <c r="E23" s="1"/>
      <c r="F23" s="1"/>
      <c r="G23" s="1"/>
      <c r="H23" s="1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Fredrik Engmér</dc:creator>
  <cp:keywords/>
  <dc:description/>
  <cp:lastModifiedBy>Otto Bolin</cp:lastModifiedBy>
  <cp:revision/>
  <dcterms:created xsi:type="dcterms:W3CDTF">2025-09-15T14:07:49Z</dcterms:created>
  <dcterms:modified xsi:type="dcterms:W3CDTF">2026-01-11T21:19:32Z</dcterms:modified>
  <cp:category/>
  <cp:contentStatus/>
</cp:coreProperties>
</file>