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rikengmer/Library/CloudStorage/Dropbox/1903 Bolaget/Kalkyler/1903 Aviation kalkyler/"/>
    </mc:Choice>
  </mc:AlternateContent>
  <xr:revisionPtr revIDLastSave="0" documentId="13_ncr:1_{98A46AC2-79E2-8A41-AFB6-BE540B2EBD3F}" xr6:coauthVersionLast="47" xr6:coauthVersionMax="47" xr10:uidLastSave="{00000000-0000-0000-0000-000000000000}"/>
  <bookViews>
    <workbookView xWindow="8700" yWindow="760" windowWidth="18060" windowHeight="21580" xr2:uid="{5A47C91E-FB34-FC47-83ED-6093F1456048}"/>
  </bookViews>
  <sheets>
    <sheet name="EURO (2)" sheetId="3" r:id="rId1"/>
  </sheets>
  <definedNames>
    <definedName name="_xlnm.Print_Area" localSheetId="0">'EURO (2)'!$B$1:$H$47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3" l="1"/>
  <c r="D22" i="3" l="1"/>
  <c r="C39" i="3"/>
  <c r="C9" i="3"/>
  <c r="E21" i="3" l="1"/>
  <c r="D40" i="3" l="1"/>
  <c r="F34" i="3"/>
  <c r="F33" i="3"/>
  <c r="F30" i="3"/>
  <c r="D23" i="3"/>
  <c r="D20" i="3"/>
  <c r="E19" i="3"/>
  <c r="D18" i="3"/>
  <c r="D17" i="3"/>
  <c r="D16" i="3"/>
  <c r="D15" i="3"/>
  <c r="D14" i="3"/>
  <c r="E13" i="3"/>
  <c r="E12" i="3"/>
  <c r="F24" i="3" l="1"/>
  <c r="F21" i="3"/>
  <c r="F20" i="3"/>
  <c r="F23" i="3"/>
  <c r="D33" i="3"/>
  <c r="E33" i="3" s="1"/>
  <c r="F12" i="3"/>
  <c r="F17" i="3"/>
  <c r="D30" i="3"/>
  <c r="E30" i="3" s="1"/>
  <c r="F18" i="3"/>
  <c r="D34" i="3"/>
  <c r="E34" i="3" s="1"/>
  <c r="D32" i="3"/>
  <c r="E32" i="3" s="1"/>
  <c r="D25" i="3"/>
  <c r="E20" i="3"/>
  <c r="F16" i="3"/>
  <c r="F22" i="3"/>
  <c r="F15" i="3"/>
  <c r="E18" i="3"/>
  <c r="F13" i="3"/>
  <c r="E16" i="3"/>
  <c r="F19" i="3"/>
  <c r="E23" i="3"/>
  <c r="D31" i="3"/>
  <c r="F14" i="3"/>
  <c r="F25" i="3" l="1"/>
  <c r="F32" i="3"/>
  <c r="F35" i="3" s="1"/>
  <c r="G39" i="3" s="1"/>
  <c r="E25" i="3"/>
  <c r="E31" i="3"/>
  <c r="E35" i="3" s="1"/>
  <c r="D35" i="3"/>
  <c r="D37" i="3" s="1"/>
  <c r="M40" i="3" l="1"/>
  <c r="M38" i="3"/>
  <c r="F37" i="3"/>
  <c r="E37" i="3"/>
  <c r="G41" i="3" l="1"/>
  <c r="M42" i="3"/>
  <c r="G42" i="3" l="1"/>
  <c r="G44" i="3" s="1"/>
  <c r="G45" i="3" s="1"/>
  <c r="G43" i="3"/>
</calcChain>
</file>

<file path=xl/sharedStrings.xml><?xml version="1.0" encoding="utf-8"?>
<sst xmlns="http://schemas.openxmlformats.org/spreadsheetml/2006/main" count="74" uniqueCount="69">
  <si>
    <t>SEK</t>
  </si>
  <si>
    <t>Dollar Rate</t>
  </si>
  <si>
    <t>Fuel Price</t>
  </si>
  <si>
    <t>Charter</t>
  </si>
  <si>
    <t>Total Hours</t>
  </si>
  <si>
    <t>Year</t>
  </si>
  <si>
    <t>Month</t>
  </si>
  <si>
    <t>Hour</t>
  </si>
  <si>
    <t>CAMO</t>
  </si>
  <si>
    <t>Bombardier/engines etc</t>
  </si>
  <si>
    <t>Electronic flight Bags (EFB)</t>
  </si>
  <si>
    <t>Trip Planing cost</t>
  </si>
  <si>
    <t>Special flights/flight permits</t>
  </si>
  <si>
    <t>SatCom</t>
  </si>
  <si>
    <t>Satphone, acars</t>
  </si>
  <si>
    <t>200 h minimum per year</t>
  </si>
  <si>
    <t>Airframe Maintenance Labour</t>
  </si>
  <si>
    <t>Charter hours</t>
  </si>
  <si>
    <t>variable cost</t>
  </si>
  <si>
    <t>Euro</t>
  </si>
  <si>
    <t>Owner</t>
  </si>
  <si>
    <t>Currency:</t>
  </si>
  <si>
    <t>Our hangar at Bromma</t>
  </si>
  <si>
    <t>2025-10-22 EURO</t>
  </si>
  <si>
    <t>McGill</t>
  </si>
  <si>
    <t>Maintenance engineers</t>
  </si>
  <si>
    <t>Insurance</t>
  </si>
  <si>
    <t>Training</t>
  </si>
  <si>
    <t>Flight Manuals</t>
  </si>
  <si>
    <t>Mobil, uniform etc</t>
  </si>
  <si>
    <t>Fix cost</t>
  </si>
  <si>
    <t>Fuel</t>
  </si>
  <si>
    <t xml:space="preserve">Eurocontrol </t>
  </si>
  <si>
    <t>TOTAL:</t>
  </si>
  <si>
    <t>Hotell, Per-diem, catering, landing, handling and parking not included</t>
  </si>
  <si>
    <t>Variable cost</t>
  </si>
  <si>
    <t>Capital cost not included</t>
  </si>
  <si>
    <t>Parts on program</t>
  </si>
  <si>
    <t>Monitoring program</t>
  </si>
  <si>
    <t>Eurocontrol/overflight cost</t>
  </si>
  <si>
    <t>Total fix and variable cost</t>
  </si>
  <si>
    <t xml:space="preserve"> Handling + landing fees</t>
  </si>
  <si>
    <t>Charter price ex handling etc</t>
  </si>
  <si>
    <t>1/2 engineers</t>
  </si>
  <si>
    <t>1903 Aviations AOC</t>
  </si>
  <si>
    <t>Management Fee</t>
  </si>
  <si>
    <t>CAMP</t>
  </si>
  <si>
    <t>Maintenance programn</t>
  </si>
  <si>
    <t>1500-4000 euro/sector</t>
  </si>
  <si>
    <t>Maintanance reserves for service/checks</t>
  </si>
  <si>
    <t>Base (hangar etc.)</t>
  </si>
  <si>
    <t>Yearly training cost pilots</t>
  </si>
  <si>
    <t>Jepessen for aircraft and pilots, Foreflight, Ipreflight</t>
  </si>
  <si>
    <t>Airplane:</t>
  </si>
  <si>
    <t>Fixed costs</t>
  </si>
  <si>
    <t xml:space="preserve">Total cost  </t>
  </si>
  <si>
    <t>Total cost</t>
  </si>
  <si>
    <t>total variable cost for owner flights</t>
  </si>
  <si>
    <t>charter revenue per hour</t>
  </si>
  <si>
    <t>total charter revenue</t>
  </si>
  <si>
    <t>Total cost for owner (after charter revenue)</t>
  </si>
  <si>
    <t>Fixed cost after charter profits</t>
  </si>
  <si>
    <t>2 captains and 2 first officers</t>
  </si>
  <si>
    <t>Contribution to fixed costs (after variable costs deducted)</t>
  </si>
  <si>
    <t>Owner’s cost per flight hour after charter revenue</t>
  </si>
  <si>
    <t>Crew (2 Captians &amp; 2 FO)</t>
  </si>
  <si>
    <t>Citation XLS</t>
  </si>
  <si>
    <t xml:space="preserve">Engine program &amp; APU 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</si>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</sst>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kr&quot;_-;\-* #,##0.00\ &quot;kr&quot;_-;_-* &quot;-&quot;??\ &quot;kr&quot;_-;_-@_-"/>
    <numFmt numFmtId="164" formatCode="[$$-409]#,##0.00"/>
    <numFmt numFmtId="165" formatCode="#,##0.00\ &quot;kr&quot;"/>
    <numFmt numFmtId="166" formatCode="#,##0\ &quot;kr&quot;"/>
    <numFmt numFmtId="167" formatCode="[$$-409]#,##0"/>
    <numFmt numFmtId="168" formatCode="[$$-540A]#,##0"/>
    <numFmt numFmtId="169" formatCode="#,##0\ [$€-1]"/>
    <numFmt numFmtId="170" formatCode="#,##0.00\ [$€-1]"/>
    <numFmt numFmtId="171" formatCode="#,##0.000\ [$€-1]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ptos Narrow"/>
    </font>
    <font>
      <sz val="12"/>
      <color theme="1"/>
      <name val="Aptos Narrow"/>
    </font>
    <font>
      <sz val="10"/>
      <name val="Aptos Narrow"/>
    </font>
    <font>
      <b/>
      <sz val="12"/>
      <color theme="1"/>
      <name val="Aptos Narrow"/>
    </font>
    <font>
      <sz val="12"/>
      <name val="Aptos Narrow"/>
    </font>
    <font>
      <b/>
      <sz val="10"/>
      <name val="Aptos Narrow"/>
    </font>
    <font>
      <i/>
      <sz val="12"/>
      <name val="Aptos Narrow"/>
    </font>
    <font>
      <sz val="8"/>
      <color theme="1"/>
      <name val="Aptos Narrow"/>
    </font>
    <font>
      <sz val="12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14" fontId="2" fillId="0" borderId="0" xfId="0" applyNumberFormat="1" applyFont="1" applyAlignment="1">
      <alignment horizontal="left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164" fontId="3" fillId="0" borderId="0" xfId="0" applyNumberFormat="1" applyFont="1"/>
    <xf numFmtId="171" fontId="3" fillId="0" borderId="0" xfId="0" applyNumberFormat="1" applyFont="1"/>
    <xf numFmtId="165" fontId="3" fillId="0" borderId="0" xfId="0" applyNumberFormat="1" applyFont="1"/>
    <xf numFmtId="170" fontId="3" fillId="0" borderId="0" xfId="0" applyNumberFormat="1" applyFont="1"/>
    <xf numFmtId="0" fontId="6" fillId="2" borderId="0" xfId="0" applyFont="1" applyFill="1"/>
    <xf numFmtId="0" fontId="7" fillId="0" borderId="1" xfId="0" applyFont="1" applyBorder="1"/>
    <xf numFmtId="0" fontId="7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169" fontId="3" fillId="0" borderId="5" xfId="1" applyNumberFormat="1" applyFont="1" applyBorder="1"/>
    <xf numFmtId="169" fontId="3" fillId="0" borderId="5" xfId="0" applyNumberFormat="1" applyFont="1" applyBorder="1"/>
    <xf numFmtId="169" fontId="3" fillId="0" borderId="6" xfId="0" applyNumberFormat="1" applyFont="1" applyBorder="1"/>
    <xf numFmtId="0" fontId="3" fillId="0" borderId="7" xfId="0" applyFont="1" applyBorder="1"/>
    <xf numFmtId="167" fontId="3" fillId="0" borderId="0" xfId="0" applyNumberFormat="1" applyFont="1"/>
    <xf numFmtId="169" fontId="3" fillId="0" borderId="0" xfId="1" applyNumberFormat="1" applyFont="1" applyBorder="1"/>
    <xf numFmtId="169" fontId="3" fillId="0" borderId="0" xfId="0" applyNumberFormat="1" applyFont="1"/>
    <xf numFmtId="169" fontId="3" fillId="0" borderId="8" xfId="0" applyNumberFormat="1" applyFont="1" applyBorder="1"/>
    <xf numFmtId="0" fontId="6" fillId="0" borderId="7" xfId="0" applyFont="1" applyBorder="1"/>
    <xf numFmtId="0" fontId="3" fillId="5" borderId="0" xfId="0" applyFont="1" applyFill="1"/>
    <xf numFmtId="169" fontId="3" fillId="0" borderId="0" xfId="1" applyNumberFormat="1" applyFont="1" applyFill="1" applyBorder="1"/>
    <xf numFmtId="166" fontId="3" fillId="0" borderId="0" xfId="0" applyNumberFormat="1" applyFont="1"/>
    <xf numFmtId="168" fontId="3" fillId="0" borderId="0" xfId="0" applyNumberFormat="1" applyFont="1"/>
    <xf numFmtId="0" fontId="6" fillId="0" borderId="9" xfId="0" applyFont="1" applyBorder="1"/>
    <xf numFmtId="167" fontId="3" fillId="0" borderId="10" xfId="0" applyNumberFormat="1" applyFont="1" applyBorder="1"/>
    <xf numFmtId="169" fontId="3" fillId="0" borderId="10" xfId="1" applyNumberFormat="1" applyFont="1" applyBorder="1"/>
    <xf numFmtId="169" fontId="3" fillId="0" borderId="10" xfId="0" applyNumberFormat="1" applyFont="1" applyBorder="1"/>
    <xf numFmtId="169" fontId="3" fillId="0" borderId="11" xfId="0" applyNumberFormat="1" applyFont="1" applyBorder="1"/>
    <xf numFmtId="0" fontId="3" fillId="0" borderId="12" xfId="0" applyFont="1" applyBorder="1"/>
    <xf numFmtId="167" fontId="3" fillId="0" borderId="13" xfId="0" applyNumberFormat="1" applyFont="1" applyBorder="1"/>
    <xf numFmtId="169" fontId="3" fillId="0" borderId="13" xfId="1" applyNumberFormat="1" applyFont="1" applyBorder="1"/>
    <xf numFmtId="169" fontId="3" fillId="0" borderId="13" xfId="0" applyNumberFormat="1" applyFont="1" applyBorder="1"/>
    <xf numFmtId="169" fontId="3" fillId="0" borderId="14" xfId="0" applyNumberFormat="1" applyFont="1" applyBorder="1"/>
    <xf numFmtId="166" fontId="3" fillId="0" borderId="0" xfId="1" applyNumberFormat="1" applyFont="1" applyBorder="1"/>
    <xf numFmtId="0" fontId="6" fillId="0" borderId="0" xfId="0" applyFont="1"/>
    <xf numFmtId="0" fontId="8" fillId="0" borderId="0" xfId="0" applyFont="1"/>
    <xf numFmtId="0" fontId="2" fillId="0" borderId="0" xfId="0" applyFont="1"/>
    <xf numFmtId="169" fontId="2" fillId="0" borderId="0" xfId="0" applyNumberFormat="1" applyFont="1"/>
    <xf numFmtId="0" fontId="3" fillId="0" borderId="1" xfId="0" applyFont="1" applyBorder="1"/>
    <xf numFmtId="0" fontId="3" fillId="3" borderId="15" xfId="0" applyFont="1" applyFill="1" applyBorder="1"/>
    <xf numFmtId="166" fontId="5" fillId="0" borderId="2" xfId="0" applyNumberFormat="1" applyFont="1" applyBorder="1"/>
    <xf numFmtId="0" fontId="3" fillId="0" borderId="2" xfId="0" applyFont="1" applyBorder="1"/>
    <xf numFmtId="169" fontId="3" fillId="0" borderId="2" xfId="0" applyNumberFormat="1" applyFont="1" applyBorder="1"/>
    <xf numFmtId="0" fontId="3" fillId="0" borderId="3" xfId="0" applyFont="1" applyBorder="1"/>
    <xf numFmtId="0" fontId="9" fillId="0" borderId="0" xfId="0" applyFont="1"/>
    <xf numFmtId="169" fontId="3" fillId="3" borderId="15" xfId="0" applyNumberFormat="1" applyFont="1" applyFill="1" applyBorder="1"/>
    <xf numFmtId="169" fontId="5" fillId="0" borderId="0" xfId="0" applyNumberFormat="1" applyFont="1"/>
    <xf numFmtId="169" fontId="6" fillId="0" borderId="0" xfId="0" applyNumberFormat="1" applyFont="1"/>
    <xf numFmtId="166" fontId="3" fillId="0" borderId="8" xfId="0" applyNumberFormat="1" applyFont="1" applyBorder="1"/>
    <xf numFmtId="0" fontId="2" fillId="0" borderId="7" xfId="0" applyFont="1" applyBorder="1"/>
    <xf numFmtId="166" fontId="5" fillId="0" borderId="0" xfId="0" applyNumberFormat="1" applyFont="1"/>
    <xf numFmtId="0" fontId="3" fillId="0" borderId="8" xfId="0" applyFont="1" applyBorder="1"/>
    <xf numFmtId="169" fontId="2" fillId="4" borderId="15" xfId="0" applyNumberFormat="1" applyFont="1" applyFill="1" applyBorder="1"/>
    <xf numFmtId="0" fontId="3" fillId="0" borderId="16" xfId="0" applyFont="1" applyBorder="1"/>
    <xf numFmtId="0" fontId="3" fillId="0" borderId="17" xfId="0" applyFont="1" applyBorder="1"/>
    <xf numFmtId="169" fontId="5" fillId="4" borderId="15" xfId="0" applyNumberFormat="1" applyFont="1" applyFill="1" applyBorder="1"/>
    <xf numFmtId="0" fontId="3" fillId="0" borderId="18" xfId="0" applyFont="1" applyBorder="1"/>
    <xf numFmtId="0" fontId="10" fillId="0" borderId="0" xfId="0" applyFont="1"/>
    <xf numFmtId="0" fontId="6" fillId="0" borderId="0" xfId="0" applyFont="1" applyAlignment="1">
      <alignment horizontal="right"/>
    </xf>
    <xf numFmtId="0" fontId="7" fillId="0" borderId="19" xfId="0" applyFont="1" applyBorder="1"/>
    <xf numFmtId="0" fontId="7" fillId="0" borderId="20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3" fontId="3" fillId="0" borderId="14" xfId="0" applyNumberFormat="1" applyFont="1" applyBorder="1"/>
    <xf numFmtId="169" fontId="6" fillId="0" borderId="0" xfId="0" applyNumberFormat="1" applyFont="1" applyAlignment="1">
      <alignment vertical="top"/>
    </xf>
    <xf numFmtId="0" fontId="3" fillId="0" borderId="22" xfId="0" applyFont="1" applyBorder="1"/>
    <xf numFmtId="0" fontId="3" fillId="0" borderId="15" xfId="0" applyFont="1" applyBorder="1"/>
  </cellXfs>
  <cellStyles count="2">
    <cellStyle name="Normal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5</xdr:col>
      <xdr:colOff>325889</xdr:colOff>
      <xdr:row>2</xdr:row>
      <xdr:rowOff>10016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3624AD77-DFF0-2241-B02F-2010C08E6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2533" y="0"/>
          <a:ext cx="1214889" cy="416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0F2D-6BDC-E348-9BD8-B6A1A394D484}">
  <dimension ref="B1:M48"/>
  <sheetViews>
    <sheetView tabSelected="1" topLeftCell="A11" zoomScale="119" workbookViewId="0">
      <selection activeCell="H50" sqref="H50"/>
    </sheetView>
  </sheetViews>
  <sheetFormatPr baseColWidth="10" defaultColWidth="8.83203125" defaultRowHeight="16" x14ac:dyDescent="0.2"/>
  <cols>
    <col min="1" max="1" width="1.83203125" style="3" customWidth="1"/>
    <col min="2" max="2" width="28.5" style="3" customWidth="1"/>
    <col min="3" max="3" width="12.33203125" style="3" bestFit="1" customWidth="1"/>
    <col min="4" max="4" width="14.6640625" style="3" customWidth="1"/>
    <col min="5" max="5" width="11.6640625" style="3" customWidth="1"/>
    <col min="6" max="6" width="11.83203125" style="3" customWidth="1"/>
    <col min="7" max="7" width="13.1640625" style="3" customWidth="1"/>
    <col min="8" max="8" width="19.33203125" style="3" customWidth="1"/>
    <col min="9" max="11" width="8.83203125" style="3"/>
    <col min="12" max="12" width="19.83203125" style="3" customWidth="1"/>
    <col min="13" max="13" width="10.6640625" style="3" bestFit="1" customWidth="1"/>
    <col min="14" max="256" width="8.83203125" style="3"/>
    <col min="257" max="257" width="1.83203125" style="3" customWidth="1"/>
    <col min="258" max="258" width="24.33203125" style="3" customWidth="1"/>
    <col min="259" max="259" width="12.33203125" style="3" bestFit="1" customWidth="1"/>
    <col min="260" max="260" width="14.6640625" style="3" customWidth="1"/>
    <col min="261" max="261" width="11.6640625" style="3" customWidth="1"/>
    <col min="262" max="262" width="11.83203125" style="3" customWidth="1"/>
    <col min="263" max="512" width="8.83203125" style="3"/>
    <col min="513" max="513" width="1.83203125" style="3" customWidth="1"/>
    <col min="514" max="514" width="24.33203125" style="3" customWidth="1"/>
    <col min="515" max="515" width="12.33203125" style="3" bestFit="1" customWidth="1"/>
    <col min="516" max="516" width="14.6640625" style="3" customWidth="1"/>
    <col min="517" max="517" width="11.6640625" style="3" customWidth="1"/>
    <col min="518" max="518" width="11.83203125" style="3" customWidth="1"/>
    <col min="519" max="768" width="8.83203125" style="3"/>
    <col min="769" max="769" width="1.83203125" style="3" customWidth="1"/>
    <col min="770" max="770" width="24.33203125" style="3" customWidth="1"/>
    <col min="771" max="771" width="12.33203125" style="3" bestFit="1" customWidth="1"/>
    <col min="772" max="772" width="14.6640625" style="3" customWidth="1"/>
    <col min="773" max="773" width="11.6640625" style="3" customWidth="1"/>
    <col min="774" max="774" width="11.83203125" style="3" customWidth="1"/>
    <col min="775" max="1024" width="8.83203125" style="3"/>
    <col min="1025" max="1025" width="1.83203125" style="3" customWidth="1"/>
    <col min="1026" max="1026" width="24.33203125" style="3" customWidth="1"/>
    <col min="1027" max="1027" width="12.33203125" style="3" bestFit="1" customWidth="1"/>
    <col min="1028" max="1028" width="14.6640625" style="3" customWidth="1"/>
    <col min="1029" max="1029" width="11.6640625" style="3" customWidth="1"/>
    <col min="1030" max="1030" width="11.83203125" style="3" customWidth="1"/>
    <col min="1031" max="1280" width="8.83203125" style="3"/>
    <col min="1281" max="1281" width="1.83203125" style="3" customWidth="1"/>
    <col min="1282" max="1282" width="24.33203125" style="3" customWidth="1"/>
    <col min="1283" max="1283" width="12.33203125" style="3" bestFit="1" customWidth="1"/>
    <col min="1284" max="1284" width="14.6640625" style="3" customWidth="1"/>
    <col min="1285" max="1285" width="11.6640625" style="3" customWidth="1"/>
    <col min="1286" max="1286" width="11.83203125" style="3" customWidth="1"/>
    <col min="1287" max="1536" width="8.83203125" style="3"/>
    <col min="1537" max="1537" width="1.83203125" style="3" customWidth="1"/>
    <col min="1538" max="1538" width="24.33203125" style="3" customWidth="1"/>
    <col min="1539" max="1539" width="12.33203125" style="3" bestFit="1" customWidth="1"/>
    <col min="1540" max="1540" width="14.6640625" style="3" customWidth="1"/>
    <col min="1541" max="1541" width="11.6640625" style="3" customWidth="1"/>
    <col min="1542" max="1542" width="11.83203125" style="3" customWidth="1"/>
    <col min="1543" max="1792" width="8.83203125" style="3"/>
    <col min="1793" max="1793" width="1.83203125" style="3" customWidth="1"/>
    <col min="1794" max="1794" width="24.33203125" style="3" customWidth="1"/>
    <col min="1795" max="1795" width="12.33203125" style="3" bestFit="1" customWidth="1"/>
    <col min="1796" max="1796" width="14.6640625" style="3" customWidth="1"/>
    <col min="1797" max="1797" width="11.6640625" style="3" customWidth="1"/>
    <col min="1798" max="1798" width="11.83203125" style="3" customWidth="1"/>
    <col min="1799" max="2048" width="8.83203125" style="3"/>
    <col min="2049" max="2049" width="1.83203125" style="3" customWidth="1"/>
    <col min="2050" max="2050" width="24.33203125" style="3" customWidth="1"/>
    <col min="2051" max="2051" width="12.33203125" style="3" bestFit="1" customWidth="1"/>
    <col min="2052" max="2052" width="14.6640625" style="3" customWidth="1"/>
    <col min="2053" max="2053" width="11.6640625" style="3" customWidth="1"/>
    <col min="2054" max="2054" width="11.83203125" style="3" customWidth="1"/>
    <col min="2055" max="2304" width="8.83203125" style="3"/>
    <col min="2305" max="2305" width="1.83203125" style="3" customWidth="1"/>
    <col min="2306" max="2306" width="24.33203125" style="3" customWidth="1"/>
    <col min="2307" max="2307" width="12.33203125" style="3" bestFit="1" customWidth="1"/>
    <col min="2308" max="2308" width="14.6640625" style="3" customWidth="1"/>
    <col min="2309" max="2309" width="11.6640625" style="3" customWidth="1"/>
    <col min="2310" max="2310" width="11.83203125" style="3" customWidth="1"/>
    <col min="2311" max="2560" width="8.83203125" style="3"/>
    <col min="2561" max="2561" width="1.83203125" style="3" customWidth="1"/>
    <col min="2562" max="2562" width="24.33203125" style="3" customWidth="1"/>
    <col min="2563" max="2563" width="12.33203125" style="3" bestFit="1" customWidth="1"/>
    <col min="2564" max="2564" width="14.6640625" style="3" customWidth="1"/>
    <col min="2565" max="2565" width="11.6640625" style="3" customWidth="1"/>
    <col min="2566" max="2566" width="11.83203125" style="3" customWidth="1"/>
    <col min="2567" max="2816" width="8.83203125" style="3"/>
    <col min="2817" max="2817" width="1.83203125" style="3" customWidth="1"/>
    <col min="2818" max="2818" width="24.33203125" style="3" customWidth="1"/>
    <col min="2819" max="2819" width="12.33203125" style="3" bestFit="1" customWidth="1"/>
    <col min="2820" max="2820" width="14.6640625" style="3" customWidth="1"/>
    <col min="2821" max="2821" width="11.6640625" style="3" customWidth="1"/>
    <col min="2822" max="2822" width="11.83203125" style="3" customWidth="1"/>
    <col min="2823" max="3072" width="8.83203125" style="3"/>
    <col min="3073" max="3073" width="1.83203125" style="3" customWidth="1"/>
    <col min="3074" max="3074" width="24.33203125" style="3" customWidth="1"/>
    <col min="3075" max="3075" width="12.33203125" style="3" bestFit="1" customWidth="1"/>
    <col min="3076" max="3076" width="14.6640625" style="3" customWidth="1"/>
    <col min="3077" max="3077" width="11.6640625" style="3" customWidth="1"/>
    <col min="3078" max="3078" width="11.83203125" style="3" customWidth="1"/>
    <col min="3079" max="3328" width="8.83203125" style="3"/>
    <col min="3329" max="3329" width="1.83203125" style="3" customWidth="1"/>
    <col min="3330" max="3330" width="24.33203125" style="3" customWidth="1"/>
    <col min="3331" max="3331" width="12.33203125" style="3" bestFit="1" customWidth="1"/>
    <col min="3332" max="3332" width="14.6640625" style="3" customWidth="1"/>
    <col min="3333" max="3333" width="11.6640625" style="3" customWidth="1"/>
    <col min="3334" max="3334" width="11.83203125" style="3" customWidth="1"/>
    <col min="3335" max="3584" width="8.83203125" style="3"/>
    <col min="3585" max="3585" width="1.83203125" style="3" customWidth="1"/>
    <col min="3586" max="3586" width="24.33203125" style="3" customWidth="1"/>
    <col min="3587" max="3587" width="12.33203125" style="3" bestFit="1" customWidth="1"/>
    <col min="3588" max="3588" width="14.6640625" style="3" customWidth="1"/>
    <col min="3589" max="3589" width="11.6640625" style="3" customWidth="1"/>
    <col min="3590" max="3590" width="11.83203125" style="3" customWidth="1"/>
    <col min="3591" max="3840" width="8.83203125" style="3"/>
    <col min="3841" max="3841" width="1.83203125" style="3" customWidth="1"/>
    <col min="3842" max="3842" width="24.33203125" style="3" customWidth="1"/>
    <col min="3843" max="3843" width="12.33203125" style="3" bestFit="1" customWidth="1"/>
    <col min="3844" max="3844" width="14.6640625" style="3" customWidth="1"/>
    <col min="3845" max="3845" width="11.6640625" style="3" customWidth="1"/>
    <col min="3846" max="3846" width="11.83203125" style="3" customWidth="1"/>
    <col min="3847" max="4096" width="8.83203125" style="3"/>
    <col min="4097" max="4097" width="1.83203125" style="3" customWidth="1"/>
    <col min="4098" max="4098" width="24.33203125" style="3" customWidth="1"/>
    <col min="4099" max="4099" width="12.33203125" style="3" bestFit="1" customWidth="1"/>
    <col min="4100" max="4100" width="14.6640625" style="3" customWidth="1"/>
    <col min="4101" max="4101" width="11.6640625" style="3" customWidth="1"/>
    <col min="4102" max="4102" width="11.83203125" style="3" customWidth="1"/>
    <col min="4103" max="4352" width="8.83203125" style="3"/>
    <col min="4353" max="4353" width="1.83203125" style="3" customWidth="1"/>
    <col min="4354" max="4354" width="24.33203125" style="3" customWidth="1"/>
    <col min="4355" max="4355" width="12.33203125" style="3" bestFit="1" customWidth="1"/>
    <col min="4356" max="4356" width="14.6640625" style="3" customWidth="1"/>
    <col min="4357" max="4357" width="11.6640625" style="3" customWidth="1"/>
    <col min="4358" max="4358" width="11.83203125" style="3" customWidth="1"/>
    <col min="4359" max="4608" width="8.83203125" style="3"/>
    <col min="4609" max="4609" width="1.83203125" style="3" customWidth="1"/>
    <col min="4610" max="4610" width="24.33203125" style="3" customWidth="1"/>
    <col min="4611" max="4611" width="12.33203125" style="3" bestFit="1" customWidth="1"/>
    <col min="4612" max="4612" width="14.6640625" style="3" customWidth="1"/>
    <col min="4613" max="4613" width="11.6640625" style="3" customWidth="1"/>
    <col min="4614" max="4614" width="11.83203125" style="3" customWidth="1"/>
    <col min="4615" max="4864" width="8.83203125" style="3"/>
    <col min="4865" max="4865" width="1.83203125" style="3" customWidth="1"/>
    <col min="4866" max="4866" width="24.33203125" style="3" customWidth="1"/>
    <col min="4867" max="4867" width="12.33203125" style="3" bestFit="1" customWidth="1"/>
    <col min="4868" max="4868" width="14.6640625" style="3" customWidth="1"/>
    <col min="4869" max="4869" width="11.6640625" style="3" customWidth="1"/>
    <col min="4870" max="4870" width="11.83203125" style="3" customWidth="1"/>
    <col min="4871" max="5120" width="8.83203125" style="3"/>
    <col min="5121" max="5121" width="1.83203125" style="3" customWidth="1"/>
    <col min="5122" max="5122" width="24.33203125" style="3" customWidth="1"/>
    <col min="5123" max="5123" width="12.33203125" style="3" bestFit="1" customWidth="1"/>
    <col min="5124" max="5124" width="14.6640625" style="3" customWidth="1"/>
    <col min="5125" max="5125" width="11.6640625" style="3" customWidth="1"/>
    <col min="5126" max="5126" width="11.83203125" style="3" customWidth="1"/>
    <col min="5127" max="5376" width="8.83203125" style="3"/>
    <col min="5377" max="5377" width="1.83203125" style="3" customWidth="1"/>
    <col min="5378" max="5378" width="24.33203125" style="3" customWidth="1"/>
    <col min="5379" max="5379" width="12.33203125" style="3" bestFit="1" customWidth="1"/>
    <col min="5380" max="5380" width="14.6640625" style="3" customWidth="1"/>
    <col min="5381" max="5381" width="11.6640625" style="3" customWidth="1"/>
    <col min="5382" max="5382" width="11.83203125" style="3" customWidth="1"/>
    <col min="5383" max="5632" width="8.83203125" style="3"/>
    <col min="5633" max="5633" width="1.83203125" style="3" customWidth="1"/>
    <col min="5634" max="5634" width="24.33203125" style="3" customWidth="1"/>
    <col min="5635" max="5635" width="12.33203125" style="3" bestFit="1" customWidth="1"/>
    <col min="5636" max="5636" width="14.6640625" style="3" customWidth="1"/>
    <col min="5637" max="5637" width="11.6640625" style="3" customWidth="1"/>
    <col min="5638" max="5638" width="11.83203125" style="3" customWidth="1"/>
    <col min="5639" max="5888" width="8.83203125" style="3"/>
    <col min="5889" max="5889" width="1.83203125" style="3" customWidth="1"/>
    <col min="5890" max="5890" width="24.33203125" style="3" customWidth="1"/>
    <col min="5891" max="5891" width="12.33203125" style="3" bestFit="1" customWidth="1"/>
    <col min="5892" max="5892" width="14.6640625" style="3" customWidth="1"/>
    <col min="5893" max="5893" width="11.6640625" style="3" customWidth="1"/>
    <col min="5894" max="5894" width="11.83203125" style="3" customWidth="1"/>
    <col min="5895" max="6144" width="8.83203125" style="3"/>
    <col min="6145" max="6145" width="1.83203125" style="3" customWidth="1"/>
    <col min="6146" max="6146" width="24.33203125" style="3" customWidth="1"/>
    <col min="6147" max="6147" width="12.33203125" style="3" bestFit="1" customWidth="1"/>
    <col min="6148" max="6148" width="14.6640625" style="3" customWidth="1"/>
    <col min="6149" max="6149" width="11.6640625" style="3" customWidth="1"/>
    <col min="6150" max="6150" width="11.83203125" style="3" customWidth="1"/>
    <col min="6151" max="6400" width="8.83203125" style="3"/>
    <col min="6401" max="6401" width="1.83203125" style="3" customWidth="1"/>
    <col min="6402" max="6402" width="24.33203125" style="3" customWidth="1"/>
    <col min="6403" max="6403" width="12.33203125" style="3" bestFit="1" customWidth="1"/>
    <col min="6404" max="6404" width="14.6640625" style="3" customWidth="1"/>
    <col min="6405" max="6405" width="11.6640625" style="3" customWidth="1"/>
    <col min="6406" max="6406" width="11.83203125" style="3" customWidth="1"/>
    <col min="6407" max="6656" width="8.83203125" style="3"/>
    <col min="6657" max="6657" width="1.83203125" style="3" customWidth="1"/>
    <col min="6658" max="6658" width="24.33203125" style="3" customWidth="1"/>
    <col min="6659" max="6659" width="12.33203125" style="3" bestFit="1" customWidth="1"/>
    <col min="6660" max="6660" width="14.6640625" style="3" customWidth="1"/>
    <col min="6661" max="6661" width="11.6640625" style="3" customWidth="1"/>
    <col min="6662" max="6662" width="11.83203125" style="3" customWidth="1"/>
    <col min="6663" max="6912" width="8.83203125" style="3"/>
    <col min="6913" max="6913" width="1.83203125" style="3" customWidth="1"/>
    <col min="6914" max="6914" width="24.33203125" style="3" customWidth="1"/>
    <col min="6915" max="6915" width="12.33203125" style="3" bestFit="1" customWidth="1"/>
    <col min="6916" max="6916" width="14.6640625" style="3" customWidth="1"/>
    <col min="6917" max="6917" width="11.6640625" style="3" customWidth="1"/>
    <col min="6918" max="6918" width="11.83203125" style="3" customWidth="1"/>
    <col min="6919" max="7168" width="8.83203125" style="3"/>
    <col min="7169" max="7169" width="1.83203125" style="3" customWidth="1"/>
    <col min="7170" max="7170" width="24.33203125" style="3" customWidth="1"/>
    <col min="7171" max="7171" width="12.33203125" style="3" bestFit="1" customWidth="1"/>
    <col min="7172" max="7172" width="14.6640625" style="3" customWidth="1"/>
    <col min="7173" max="7173" width="11.6640625" style="3" customWidth="1"/>
    <col min="7174" max="7174" width="11.83203125" style="3" customWidth="1"/>
    <col min="7175" max="7424" width="8.83203125" style="3"/>
    <col min="7425" max="7425" width="1.83203125" style="3" customWidth="1"/>
    <col min="7426" max="7426" width="24.33203125" style="3" customWidth="1"/>
    <col min="7427" max="7427" width="12.33203125" style="3" bestFit="1" customWidth="1"/>
    <col min="7428" max="7428" width="14.6640625" style="3" customWidth="1"/>
    <col min="7429" max="7429" width="11.6640625" style="3" customWidth="1"/>
    <col min="7430" max="7430" width="11.83203125" style="3" customWidth="1"/>
    <col min="7431" max="7680" width="8.83203125" style="3"/>
    <col min="7681" max="7681" width="1.83203125" style="3" customWidth="1"/>
    <col min="7682" max="7682" width="24.33203125" style="3" customWidth="1"/>
    <col min="7683" max="7683" width="12.33203125" style="3" bestFit="1" customWidth="1"/>
    <col min="7684" max="7684" width="14.6640625" style="3" customWidth="1"/>
    <col min="7685" max="7685" width="11.6640625" style="3" customWidth="1"/>
    <col min="7686" max="7686" width="11.83203125" style="3" customWidth="1"/>
    <col min="7687" max="7936" width="8.83203125" style="3"/>
    <col min="7937" max="7937" width="1.83203125" style="3" customWidth="1"/>
    <col min="7938" max="7938" width="24.33203125" style="3" customWidth="1"/>
    <col min="7939" max="7939" width="12.33203125" style="3" bestFit="1" customWidth="1"/>
    <col min="7940" max="7940" width="14.6640625" style="3" customWidth="1"/>
    <col min="7941" max="7941" width="11.6640625" style="3" customWidth="1"/>
    <col min="7942" max="7942" width="11.83203125" style="3" customWidth="1"/>
    <col min="7943" max="8192" width="8.83203125" style="3"/>
    <col min="8193" max="8193" width="1.83203125" style="3" customWidth="1"/>
    <col min="8194" max="8194" width="24.33203125" style="3" customWidth="1"/>
    <col min="8195" max="8195" width="12.33203125" style="3" bestFit="1" customWidth="1"/>
    <col min="8196" max="8196" width="14.6640625" style="3" customWidth="1"/>
    <col min="8197" max="8197" width="11.6640625" style="3" customWidth="1"/>
    <col min="8198" max="8198" width="11.83203125" style="3" customWidth="1"/>
    <col min="8199" max="8448" width="8.83203125" style="3"/>
    <col min="8449" max="8449" width="1.83203125" style="3" customWidth="1"/>
    <col min="8450" max="8450" width="24.33203125" style="3" customWidth="1"/>
    <col min="8451" max="8451" width="12.33203125" style="3" bestFit="1" customWidth="1"/>
    <col min="8452" max="8452" width="14.6640625" style="3" customWidth="1"/>
    <col min="8453" max="8453" width="11.6640625" style="3" customWidth="1"/>
    <col min="8454" max="8454" width="11.83203125" style="3" customWidth="1"/>
    <col min="8455" max="8704" width="8.83203125" style="3"/>
    <col min="8705" max="8705" width="1.83203125" style="3" customWidth="1"/>
    <col min="8706" max="8706" width="24.33203125" style="3" customWidth="1"/>
    <col min="8707" max="8707" width="12.33203125" style="3" bestFit="1" customWidth="1"/>
    <col min="8708" max="8708" width="14.6640625" style="3" customWidth="1"/>
    <col min="8709" max="8709" width="11.6640625" style="3" customWidth="1"/>
    <col min="8710" max="8710" width="11.83203125" style="3" customWidth="1"/>
    <col min="8711" max="8960" width="8.83203125" style="3"/>
    <col min="8961" max="8961" width="1.83203125" style="3" customWidth="1"/>
    <col min="8962" max="8962" width="24.33203125" style="3" customWidth="1"/>
    <col min="8963" max="8963" width="12.33203125" style="3" bestFit="1" customWidth="1"/>
    <col min="8964" max="8964" width="14.6640625" style="3" customWidth="1"/>
    <col min="8965" max="8965" width="11.6640625" style="3" customWidth="1"/>
    <col min="8966" max="8966" width="11.83203125" style="3" customWidth="1"/>
    <col min="8967" max="9216" width="8.83203125" style="3"/>
    <col min="9217" max="9217" width="1.83203125" style="3" customWidth="1"/>
    <col min="9218" max="9218" width="24.33203125" style="3" customWidth="1"/>
    <col min="9219" max="9219" width="12.33203125" style="3" bestFit="1" customWidth="1"/>
    <col min="9220" max="9220" width="14.6640625" style="3" customWidth="1"/>
    <col min="9221" max="9221" width="11.6640625" style="3" customWidth="1"/>
    <col min="9222" max="9222" width="11.83203125" style="3" customWidth="1"/>
    <col min="9223" max="9472" width="8.83203125" style="3"/>
    <col min="9473" max="9473" width="1.83203125" style="3" customWidth="1"/>
    <col min="9474" max="9474" width="24.33203125" style="3" customWidth="1"/>
    <col min="9475" max="9475" width="12.33203125" style="3" bestFit="1" customWidth="1"/>
    <col min="9476" max="9476" width="14.6640625" style="3" customWidth="1"/>
    <col min="9477" max="9477" width="11.6640625" style="3" customWidth="1"/>
    <col min="9478" max="9478" width="11.83203125" style="3" customWidth="1"/>
    <col min="9479" max="9728" width="8.83203125" style="3"/>
    <col min="9729" max="9729" width="1.83203125" style="3" customWidth="1"/>
    <col min="9730" max="9730" width="24.33203125" style="3" customWidth="1"/>
    <col min="9731" max="9731" width="12.33203125" style="3" bestFit="1" customWidth="1"/>
    <col min="9732" max="9732" width="14.6640625" style="3" customWidth="1"/>
    <col min="9733" max="9733" width="11.6640625" style="3" customWidth="1"/>
    <col min="9734" max="9734" width="11.83203125" style="3" customWidth="1"/>
    <col min="9735" max="9984" width="8.83203125" style="3"/>
    <col min="9985" max="9985" width="1.83203125" style="3" customWidth="1"/>
    <col min="9986" max="9986" width="24.33203125" style="3" customWidth="1"/>
    <col min="9987" max="9987" width="12.33203125" style="3" bestFit="1" customWidth="1"/>
    <col min="9988" max="9988" width="14.6640625" style="3" customWidth="1"/>
    <col min="9989" max="9989" width="11.6640625" style="3" customWidth="1"/>
    <col min="9990" max="9990" width="11.83203125" style="3" customWidth="1"/>
    <col min="9991" max="10240" width="8.83203125" style="3"/>
    <col min="10241" max="10241" width="1.83203125" style="3" customWidth="1"/>
    <col min="10242" max="10242" width="24.33203125" style="3" customWidth="1"/>
    <col min="10243" max="10243" width="12.33203125" style="3" bestFit="1" customWidth="1"/>
    <col min="10244" max="10244" width="14.6640625" style="3" customWidth="1"/>
    <col min="10245" max="10245" width="11.6640625" style="3" customWidth="1"/>
    <col min="10246" max="10246" width="11.83203125" style="3" customWidth="1"/>
    <col min="10247" max="10496" width="8.83203125" style="3"/>
    <col min="10497" max="10497" width="1.83203125" style="3" customWidth="1"/>
    <col min="10498" max="10498" width="24.33203125" style="3" customWidth="1"/>
    <col min="10499" max="10499" width="12.33203125" style="3" bestFit="1" customWidth="1"/>
    <col min="10500" max="10500" width="14.6640625" style="3" customWidth="1"/>
    <col min="10501" max="10501" width="11.6640625" style="3" customWidth="1"/>
    <col min="10502" max="10502" width="11.83203125" style="3" customWidth="1"/>
    <col min="10503" max="10752" width="8.83203125" style="3"/>
    <col min="10753" max="10753" width="1.83203125" style="3" customWidth="1"/>
    <col min="10754" max="10754" width="24.33203125" style="3" customWidth="1"/>
    <col min="10755" max="10755" width="12.33203125" style="3" bestFit="1" customWidth="1"/>
    <col min="10756" max="10756" width="14.6640625" style="3" customWidth="1"/>
    <col min="10757" max="10757" width="11.6640625" style="3" customWidth="1"/>
    <col min="10758" max="10758" width="11.83203125" style="3" customWidth="1"/>
    <col min="10759" max="11008" width="8.83203125" style="3"/>
    <col min="11009" max="11009" width="1.83203125" style="3" customWidth="1"/>
    <col min="11010" max="11010" width="24.33203125" style="3" customWidth="1"/>
    <col min="11011" max="11011" width="12.33203125" style="3" bestFit="1" customWidth="1"/>
    <col min="11012" max="11012" width="14.6640625" style="3" customWidth="1"/>
    <col min="11013" max="11013" width="11.6640625" style="3" customWidth="1"/>
    <col min="11014" max="11014" width="11.83203125" style="3" customWidth="1"/>
    <col min="11015" max="11264" width="8.83203125" style="3"/>
    <col min="11265" max="11265" width="1.83203125" style="3" customWidth="1"/>
    <col min="11266" max="11266" width="24.33203125" style="3" customWidth="1"/>
    <col min="11267" max="11267" width="12.33203125" style="3" bestFit="1" customWidth="1"/>
    <col min="11268" max="11268" width="14.6640625" style="3" customWidth="1"/>
    <col min="11269" max="11269" width="11.6640625" style="3" customWidth="1"/>
    <col min="11270" max="11270" width="11.83203125" style="3" customWidth="1"/>
    <col min="11271" max="11520" width="8.83203125" style="3"/>
    <col min="11521" max="11521" width="1.83203125" style="3" customWidth="1"/>
    <col min="11522" max="11522" width="24.33203125" style="3" customWidth="1"/>
    <col min="11523" max="11523" width="12.33203125" style="3" bestFit="1" customWidth="1"/>
    <col min="11524" max="11524" width="14.6640625" style="3" customWidth="1"/>
    <col min="11525" max="11525" width="11.6640625" style="3" customWidth="1"/>
    <col min="11526" max="11526" width="11.83203125" style="3" customWidth="1"/>
    <col min="11527" max="11776" width="8.83203125" style="3"/>
    <col min="11777" max="11777" width="1.83203125" style="3" customWidth="1"/>
    <col min="11778" max="11778" width="24.33203125" style="3" customWidth="1"/>
    <col min="11779" max="11779" width="12.33203125" style="3" bestFit="1" customWidth="1"/>
    <col min="11780" max="11780" width="14.6640625" style="3" customWidth="1"/>
    <col min="11781" max="11781" width="11.6640625" style="3" customWidth="1"/>
    <col min="11782" max="11782" width="11.83203125" style="3" customWidth="1"/>
    <col min="11783" max="12032" width="8.83203125" style="3"/>
    <col min="12033" max="12033" width="1.83203125" style="3" customWidth="1"/>
    <col min="12034" max="12034" width="24.33203125" style="3" customWidth="1"/>
    <col min="12035" max="12035" width="12.33203125" style="3" bestFit="1" customWidth="1"/>
    <col min="12036" max="12036" width="14.6640625" style="3" customWidth="1"/>
    <col min="12037" max="12037" width="11.6640625" style="3" customWidth="1"/>
    <col min="12038" max="12038" width="11.83203125" style="3" customWidth="1"/>
    <col min="12039" max="12288" width="8.83203125" style="3"/>
    <col min="12289" max="12289" width="1.83203125" style="3" customWidth="1"/>
    <col min="12290" max="12290" width="24.33203125" style="3" customWidth="1"/>
    <col min="12291" max="12291" width="12.33203125" style="3" bestFit="1" customWidth="1"/>
    <col min="12292" max="12292" width="14.6640625" style="3" customWidth="1"/>
    <col min="12293" max="12293" width="11.6640625" style="3" customWidth="1"/>
    <col min="12294" max="12294" width="11.83203125" style="3" customWidth="1"/>
    <col min="12295" max="12544" width="8.83203125" style="3"/>
    <col min="12545" max="12545" width="1.83203125" style="3" customWidth="1"/>
    <col min="12546" max="12546" width="24.33203125" style="3" customWidth="1"/>
    <col min="12547" max="12547" width="12.33203125" style="3" bestFit="1" customWidth="1"/>
    <col min="12548" max="12548" width="14.6640625" style="3" customWidth="1"/>
    <col min="12549" max="12549" width="11.6640625" style="3" customWidth="1"/>
    <col min="12550" max="12550" width="11.83203125" style="3" customWidth="1"/>
    <col min="12551" max="12800" width="8.83203125" style="3"/>
    <col min="12801" max="12801" width="1.83203125" style="3" customWidth="1"/>
    <col min="12802" max="12802" width="24.33203125" style="3" customWidth="1"/>
    <col min="12803" max="12803" width="12.33203125" style="3" bestFit="1" customWidth="1"/>
    <col min="12804" max="12804" width="14.6640625" style="3" customWidth="1"/>
    <col min="12805" max="12805" width="11.6640625" style="3" customWidth="1"/>
    <col min="12806" max="12806" width="11.83203125" style="3" customWidth="1"/>
    <col min="12807" max="13056" width="8.83203125" style="3"/>
    <col min="13057" max="13057" width="1.83203125" style="3" customWidth="1"/>
    <col min="13058" max="13058" width="24.33203125" style="3" customWidth="1"/>
    <col min="13059" max="13059" width="12.33203125" style="3" bestFit="1" customWidth="1"/>
    <col min="13060" max="13060" width="14.6640625" style="3" customWidth="1"/>
    <col min="13061" max="13061" width="11.6640625" style="3" customWidth="1"/>
    <col min="13062" max="13062" width="11.83203125" style="3" customWidth="1"/>
    <col min="13063" max="13312" width="8.83203125" style="3"/>
    <col min="13313" max="13313" width="1.83203125" style="3" customWidth="1"/>
    <col min="13314" max="13314" width="24.33203125" style="3" customWidth="1"/>
    <col min="13315" max="13315" width="12.33203125" style="3" bestFit="1" customWidth="1"/>
    <col min="13316" max="13316" width="14.6640625" style="3" customWidth="1"/>
    <col min="13317" max="13317" width="11.6640625" style="3" customWidth="1"/>
    <col min="13318" max="13318" width="11.83203125" style="3" customWidth="1"/>
    <col min="13319" max="13568" width="8.83203125" style="3"/>
    <col min="13569" max="13569" width="1.83203125" style="3" customWidth="1"/>
    <col min="13570" max="13570" width="24.33203125" style="3" customWidth="1"/>
    <col min="13571" max="13571" width="12.33203125" style="3" bestFit="1" customWidth="1"/>
    <col min="13572" max="13572" width="14.6640625" style="3" customWidth="1"/>
    <col min="13573" max="13573" width="11.6640625" style="3" customWidth="1"/>
    <col min="13574" max="13574" width="11.83203125" style="3" customWidth="1"/>
    <col min="13575" max="13824" width="8.83203125" style="3"/>
    <col min="13825" max="13825" width="1.83203125" style="3" customWidth="1"/>
    <col min="13826" max="13826" width="24.33203125" style="3" customWidth="1"/>
    <col min="13827" max="13827" width="12.33203125" style="3" bestFit="1" customWidth="1"/>
    <col min="13828" max="13828" width="14.6640625" style="3" customWidth="1"/>
    <col min="13829" max="13829" width="11.6640625" style="3" customWidth="1"/>
    <col min="13830" max="13830" width="11.83203125" style="3" customWidth="1"/>
    <col min="13831" max="14080" width="8.83203125" style="3"/>
    <col min="14081" max="14081" width="1.83203125" style="3" customWidth="1"/>
    <col min="14082" max="14082" width="24.33203125" style="3" customWidth="1"/>
    <col min="14083" max="14083" width="12.33203125" style="3" bestFit="1" customWidth="1"/>
    <col min="14084" max="14084" width="14.6640625" style="3" customWidth="1"/>
    <col min="14085" max="14085" width="11.6640625" style="3" customWidth="1"/>
    <col min="14086" max="14086" width="11.83203125" style="3" customWidth="1"/>
    <col min="14087" max="14336" width="8.83203125" style="3"/>
    <col min="14337" max="14337" width="1.83203125" style="3" customWidth="1"/>
    <col min="14338" max="14338" width="24.33203125" style="3" customWidth="1"/>
    <col min="14339" max="14339" width="12.33203125" style="3" bestFit="1" customWidth="1"/>
    <col min="14340" max="14340" width="14.6640625" style="3" customWidth="1"/>
    <col min="14341" max="14341" width="11.6640625" style="3" customWidth="1"/>
    <col min="14342" max="14342" width="11.83203125" style="3" customWidth="1"/>
    <col min="14343" max="14592" width="8.83203125" style="3"/>
    <col min="14593" max="14593" width="1.83203125" style="3" customWidth="1"/>
    <col min="14594" max="14594" width="24.33203125" style="3" customWidth="1"/>
    <col min="14595" max="14595" width="12.33203125" style="3" bestFit="1" customWidth="1"/>
    <col min="14596" max="14596" width="14.6640625" style="3" customWidth="1"/>
    <col min="14597" max="14597" width="11.6640625" style="3" customWidth="1"/>
    <col min="14598" max="14598" width="11.83203125" style="3" customWidth="1"/>
    <col min="14599" max="14848" width="8.83203125" style="3"/>
    <col min="14849" max="14849" width="1.83203125" style="3" customWidth="1"/>
    <col min="14850" max="14850" width="24.33203125" style="3" customWidth="1"/>
    <col min="14851" max="14851" width="12.33203125" style="3" bestFit="1" customWidth="1"/>
    <col min="14852" max="14852" width="14.6640625" style="3" customWidth="1"/>
    <col min="14853" max="14853" width="11.6640625" style="3" customWidth="1"/>
    <col min="14854" max="14854" width="11.83203125" style="3" customWidth="1"/>
    <col min="14855" max="15104" width="8.83203125" style="3"/>
    <col min="15105" max="15105" width="1.83203125" style="3" customWidth="1"/>
    <col min="15106" max="15106" width="24.33203125" style="3" customWidth="1"/>
    <col min="15107" max="15107" width="12.33203125" style="3" bestFit="1" customWidth="1"/>
    <col min="15108" max="15108" width="14.6640625" style="3" customWidth="1"/>
    <col min="15109" max="15109" width="11.6640625" style="3" customWidth="1"/>
    <col min="15110" max="15110" width="11.83203125" style="3" customWidth="1"/>
    <col min="15111" max="15360" width="8.83203125" style="3"/>
    <col min="15361" max="15361" width="1.83203125" style="3" customWidth="1"/>
    <col min="15362" max="15362" width="24.33203125" style="3" customWidth="1"/>
    <col min="15363" max="15363" width="12.33203125" style="3" bestFit="1" customWidth="1"/>
    <col min="15364" max="15364" width="14.6640625" style="3" customWidth="1"/>
    <col min="15365" max="15365" width="11.6640625" style="3" customWidth="1"/>
    <col min="15366" max="15366" width="11.83203125" style="3" customWidth="1"/>
    <col min="15367" max="15616" width="8.83203125" style="3"/>
    <col min="15617" max="15617" width="1.83203125" style="3" customWidth="1"/>
    <col min="15618" max="15618" width="24.33203125" style="3" customWidth="1"/>
    <col min="15619" max="15619" width="12.33203125" style="3" bestFit="1" customWidth="1"/>
    <col min="15620" max="15620" width="14.6640625" style="3" customWidth="1"/>
    <col min="15621" max="15621" width="11.6640625" style="3" customWidth="1"/>
    <col min="15622" max="15622" width="11.83203125" style="3" customWidth="1"/>
    <col min="15623" max="15872" width="8.83203125" style="3"/>
    <col min="15873" max="15873" width="1.83203125" style="3" customWidth="1"/>
    <col min="15874" max="15874" width="24.33203125" style="3" customWidth="1"/>
    <col min="15875" max="15875" width="12.33203125" style="3" bestFit="1" customWidth="1"/>
    <col min="15876" max="15876" width="14.6640625" style="3" customWidth="1"/>
    <col min="15877" max="15877" width="11.6640625" style="3" customWidth="1"/>
    <col min="15878" max="15878" width="11.83203125" style="3" customWidth="1"/>
    <col min="15879" max="16128" width="8.83203125" style="3"/>
    <col min="16129" max="16129" width="1.83203125" style="3" customWidth="1"/>
    <col min="16130" max="16130" width="24.33203125" style="3" customWidth="1"/>
    <col min="16131" max="16131" width="12.33203125" style="3" bestFit="1" customWidth="1"/>
    <col min="16132" max="16132" width="14.6640625" style="3" customWidth="1"/>
    <col min="16133" max="16133" width="11.6640625" style="3" customWidth="1"/>
    <col min="16134" max="16134" width="11.83203125" style="3" customWidth="1"/>
    <col min="16135" max="16384" width="8.83203125" style="3"/>
  </cols>
  <sheetData>
    <row r="1" spans="2:8" x14ac:dyDescent="0.2">
      <c r="B1" s="1" t="s">
        <v>23</v>
      </c>
      <c r="C1" s="2"/>
    </row>
    <row r="3" spans="2:8" x14ac:dyDescent="0.2">
      <c r="B3" s="42" t="s">
        <v>21</v>
      </c>
      <c r="C3" s="66" t="s">
        <v>0</v>
      </c>
      <c r="D3" s="5" t="s">
        <v>19</v>
      </c>
      <c r="G3" s="6"/>
    </row>
    <row r="4" spans="2:8" x14ac:dyDescent="0.2">
      <c r="B4" s="3" t="s">
        <v>1</v>
      </c>
      <c r="C4" s="7">
        <v>10.5</v>
      </c>
      <c r="D4" s="8">
        <v>0.86499999999999999</v>
      </c>
      <c r="E4" s="6" t="s">
        <v>53</v>
      </c>
      <c r="F4" s="6" t="s">
        <v>66</v>
      </c>
    </row>
    <row r="5" spans="2:8" x14ac:dyDescent="0.2">
      <c r="B5" s="3" t="s">
        <v>2</v>
      </c>
      <c r="C5" s="9"/>
      <c r="D5" s="10">
        <v>1.25</v>
      </c>
    </row>
    <row r="6" spans="2:8" ht="17" thickBot="1" x14ac:dyDescent="0.25">
      <c r="C6" s="9"/>
    </row>
    <row r="7" spans="2:8" ht="17" thickBot="1" x14ac:dyDescent="0.25">
      <c r="B7" s="3" t="s">
        <v>20</v>
      </c>
      <c r="C7" s="74">
        <v>200</v>
      </c>
    </row>
    <row r="8" spans="2:8" ht="17" thickBot="1" x14ac:dyDescent="0.25">
      <c r="B8" s="3" t="s">
        <v>3</v>
      </c>
      <c r="C8" s="73">
        <v>200</v>
      </c>
    </row>
    <row r="9" spans="2:8" x14ac:dyDescent="0.2">
      <c r="B9" s="3" t="s">
        <v>4</v>
      </c>
      <c r="C9" s="11">
        <f>C7+C8</f>
        <v>400</v>
      </c>
    </row>
    <row r="10" spans="2:8" ht="17" thickBot="1" x14ac:dyDescent="0.25"/>
    <row r="11" spans="2:8" x14ac:dyDescent="0.2">
      <c r="B11" s="12" t="s">
        <v>30</v>
      </c>
      <c r="C11" s="13"/>
      <c r="D11" s="14" t="s">
        <v>5</v>
      </c>
      <c r="E11" s="14" t="s">
        <v>6</v>
      </c>
      <c r="F11" s="15" t="s">
        <v>7</v>
      </c>
    </row>
    <row r="12" spans="2:8" x14ac:dyDescent="0.2">
      <c r="B12" s="16" t="s">
        <v>65</v>
      </c>
      <c r="C12" s="17"/>
      <c r="D12" s="18">
        <v>350000</v>
      </c>
      <c r="E12" s="19">
        <f>SUM(D12)/12</f>
        <v>29166.666666666668</v>
      </c>
      <c r="F12" s="20">
        <f>D12/C9</f>
        <v>875</v>
      </c>
      <c r="H12" s="3" t="s">
        <v>62</v>
      </c>
    </row>
    <row r="13" spans="2:8" x14ac:dyDescent="0.2">
      <c r="B13" s="26" t="s">
        <v>25</v>
      </c>
      <c r="D13" s="23">
        <v>0</v>
      </c>
      <c r="E13" s="24">
        <f>SUM(D13)/12</f>
        <v>0</v>
      </c>
      <c r="F13" s="25">
        <f>D13/C9</f>
        <v>0</v>
      </c>
      <c r="H13" s="3" t="s">
        <v>43</v>
      </c>
    </row>
    <row r="14" spans="2:8" x14ac:dyDescent="0.2">
      <c r="B14" s="26" t="s">
        <v>45</v>
      </c>
      <c r="D14" s="23">
        <f>E14*12</f>
        <v>60000</v>
      </c>
      <c r="E14" s="24">
        <v>5000</v>
      </c>
      <c r="F14" s="25">
        <f>D14/C9</f>
        <v>150</v>
      </c>
      <c r="H14" s="3" t="s">
        <v>44</v>
      </c>
    </row>
    <row r="15" spans="2:8" x14ac:dyDescent="0.2">
      <c r="B15" s="21" t="s">
        <v>8</v>
      </c>
      <c r="D15" s="23">
        <f>E15*12</f>
        <v>21600</v>
      </c>
      <c r="E15" s="24">
        <v>1800</v>
      </c>
      <c r="F15" s="25">
        <f>SUM(D15)/C9</f>
        <v>54</v>
      </c>
      <c r="H15" s="65" t="s">
        <v>38</v>
      </c>
    </row>
    <row r="16" spans="2:8" x14ac:dyDescent="0.2">
      <c r="B16" s="21" t="s">
        <v>26</v>
      </c>
      <c r="C16" s="22">
        <v>48000</v>
      </c>
      <c r="D16" s="23">
        <f>SUM(C16)*D4</f>
        <v>41520</v>
      </c>
      <c r="E16" s="24">
        <f>D16/12</f>
        <v>3460</v>
      </c>
      <c r="F16" s="25">
        <f>D16/C9</f>
        <v>103.8</v>
      </c>
      <c r="H16" s="3" t="s">
        <v>24</v>
      </c>
    </row>
    <row r="17" spans="2:9" x14ac:dyDescent="0.2">
      <c r="B17" s="21" t="s">
        <v>50</v>
      </c>
      <c r="C17" s="22"/>
      <c r="D17" s="23">
        <f>E17*12</f>
        <v>66000</v>
      </c>
      <c r="E17" s="24">
        <v>5500</v>
      </c>
      <c r="F17" s="25">
        <f>D17/C9</f>
        <v>165</v>
      </c>
      <c r="H17" s="27" t="s">
        <v>22</v>
      </c>
      <c r="I17" s="27"/>
    </row>
    <row r="18" spans="2:9" x14ac:dyDescent="0.2">
      <c r="B18" s="21" t="s">
        <v>27</v>
      </c>
      <c r="C18" s="22">
        <v>70000</v>
      </c>
      <c r="D18" s="28">
        <f>C18*D4</f>
        <v>60550</v>
      </c>
      <c r="E18" s="24">
        <f>D18/12</f>
        <v>5045.833333333333</v>
      </c>
      <c r="F18" s="25">
        <f>D18/C9</f>
        <v>151.375</v>
      </c>
      <c r="H18" s="3" t="s">
        <v>51</v>
      </c>
    </row>
    <row r="19" spans="2:9" x14ac:dyDescent="0.2">
      <c r="B19" s="21" t="s">
        <v>28</v>
      </c>
      <c r="D19" s="23">
        <v>4800</v>
      </c>
      <c r="E19" s="24">
        <f>SUM(D19/12)</f>
        <v>400</v>
      </c>
      <c r="F19" s="25">
        <f>SUM(D19/C9)</f>
        <v>12</v>
      </c>
      <c r="H19" s="29" t="s">
        <v>9</v>
      </c>
    </row>
    <row r="20" spans="2:9" x14ac:dyDescent="0.2">
      <c r="B20" s="21" t="s">
        <v>10</v>
      </c>
      <c r="C20" s="30">
        <v>5000</v>
      </c>
      <c r="D20" s="23">
        <f>C20*D4</f>
        <v>4325</v>
      </c>
      <c r="E20" s="24">
        <f>SUM(D20/12)</f>
        <v>360.41666666666669</v>
      </c>
      <c r="F20" s="25">
        <f>SUM(D20/C9)</f>
        <v>10.8125</v>
      </c>
      <c r="H20" s="29" t="s">
        <v>52</v>
      </c>
    </row>
    <row r="21" spans="2:9" x14ac:dyDescent="0.2">
      <c r="B21" s="21" t="s">
        <v>46</v>
      </c>
      <c r="C21" s="30"/>
      <c r="D21" s="23">
        <v>18200</v>
      </c>
      <c r="E21" s="24">
        <f>SUM(D21/12)</f>
        <v>1516.6666666666667</v>
      </c>
      <c r="F21" s="25">
        <f>SUM(D21/C9)</f>
        <v>45.5</v>
      </c>
      <c r="H21" s="29" t="s">
        <v>47</v>
      </c>
    </row>
    <row r="22" spans="2:9" x14ac:dyDescent="0.2">
      <c r="B22" s="21" t="s">
        <v>11</v>
      </c>
      <c r="C22" s="30"/>
      <c r="D22" s="23">
        <f>E22*12</f>
        <v>18000</v>
      </c>
      <c r="E22" s="24">
        <v>1500</v>
      </c>
      <c r="F22" s="25">
        <f>D22/C9</f>
        <v>45</v>
      </c>
      <c r="H22" s="29" t="s">
        <v>12</v>
      </c>
    </row>
    <row r="23" spans="2:9" x14ac:dyDescent="0.2">
      <c r="B23" s="21" t="s">
        <v>13</v>
      </c>
      <c r="C23" s="30">
        <v>5000</v>
      </c>
      <c r="D23" s="23">
        <f>C23*D4</f>
        <v>4325</v>
      </c>
      <c r="E23" s="24">
        <f t="shared" ref="E23" si="0">D23/12</f>
        <v>360.41666666666669</v>
      </c>
      <c r="F23" s="25">
        <f>D23/C9</f>
        <v>10.8125</v>
      </c>
      <c r="H23" s="29" t="s">
        <v>14</v>
      </c>
    </row>
    <row r="24" spans="2:9" x14ac:dyDescent="0.2">
      <c r="B24" s="31" t="s">
        <v>29</v>
      </c>
      <c r="C24" s="32"/>
      <c r="D24" s="33">
        <v>12000</v>
      </c>
      <c r="E24" s="34">
        <v>800</v>
      </c>
      <c r="F24" s="35">
        <f>D24/C9</f>
        <v>30</v>
      </c>
    </row>
    <row r="25" spans="2:9" ht="17" thickBot="1" x14ac:dyDescent="0.25">
      <c r="B25" s="36" t="s">
        <v>33</v>
      </c>
      <c r="C25" s="37"/>
      <c r="D25" s="38">
        <f>SUM(D12:D24)</f>
        <v>661320</v>
      </c>
      <c r="E25" s="39">
        <f>SUM(E12:E24)</f>
        <v>54910</v>
      </c>
      <c r="F25" s="40">
        <f>SUM(F12:F24)</f>
        <v>1653.3</v>
      </c>
    </row>
    <row r="26" spans="2:9" x14ac:dyDescent="0.2">
      <c r="C26" s="22"/>
      <c r="D26" s="41"/>
      <c r="E26" s="29"/>
      <c r="F26" s="29"/>
    </row>
    <row r="27" spans="2:9" x14ac:dyDescent="0.2">
      <c r="B27" s="3" t="s">
        <v>36</v>
      </c>
      <c r="C27" s="22"/>
      <c r="D27" s="41"/>
      <c r="E27" s="29"/>
      <c r="F27" s="29"/>
    </row>
    <row r="28" spans="2:9" ht="17" thickBot="1" x14ac:dyDescent="0.25"/>
    <row r="29" spans="2:9" x14ac:dyDescent="0.2">
      <c r="B29" s="67" t="s">
        <v>35</v>
      </c>
      <c r="C29" s="68"/>
      <c r="D29" s="69" t="s">
        <v>5</v>
      </c>
      <c r="E29" s="69" t="s">
        <v>6</v>
      </c>
      <c r="F29" s="70" t="s">
        <v>7</v>
      </c>
    </row>
    <row r="30" spans="2:9" x14ac:dyDescent="0.2">
      <c r="B30" s="21" t="s">
        <v>31</v>
      </c>
      <c r="C30" s="3">
        <v>900</v>
      </c>
      <c r="D30" s="23">
        <f>F30*C9</f>
        <v>450000</v>
      </c>
      <c r="E30" s="24">
        <f>D30/12</f>
        <v>37500</v>
      </c>
      <c r="F30" s="25">
        <f>C30*D5</f>
        <v>1125</v>
      </c>
    </row>
    <row r="31" spans="2:9" x14ac:dyDescent="0.2">
      <c r="B31" s="21" t="s">
        <v>32</v>
      </c>
      <c r="C31" s="22"/>
      <c r="D31" s="23">
        <f>F31*C9</f>
        <v>70000</v>
      </c>
      <c r="E31" s="24">
        <f>D31/12</f>
        <v>5833.333333333333</v>
      </c>
      <c r="F31" s="25">
        <v>175</v>
      </c>
      <c r="H31" s="3" t="s">
        <v>39</v>
      </c>
    </row>
    <row r="32" spans="2:9" x14ac:dyDescent="0.2">
      <c r="B32" s="26" t="s">
        <v>67</v>
      </c>
      <c r="C32" s="22">
        <v>660</v>
      </c>
      <c r="D32" s="23">
        <f>C32*D4*C9</f>
        <v>228360</v>
      </c>
      <c r="E32" s="24">
        <f>D32/12</f>
        <v>19030</v>
      </c>
      <c r="F32" s="25">
        <f>SUM(D32/C9)</f>
        <v>570.9</v>
      </c>
      <c r="H32" s="42" t="s">
        <v>15</v>
      </c>
    </row>
    <row r="33" spans="2:13" x14ac:dyDescent="0.2">
      <c r="B33" s="26" t="s">
        <v>68</v>
      </c>
      <c r="C33" s="22">
        <v>400</v>
      </c>
      <c r="D33" s="24">
        <f>F33*C9</f>
        <v>138400</v>
      </c>
      <c r="E33" s="24">
        <f>D33/12</f>
        <v>11533.333333333334</v>
      </c>
      <c r="F33" s="25">
        <f>C33*D4</f>
        <v>346</v>
      </c>
      <c r="H33" s="3" t="s">
        <v>37</v>
      </c>
    </row>
    <row r="34" spans="2:13" x14ac:dyDescent="0.2">
      <c r="B34" s="26" t="s">
        <v>16</v>
      </c>
      <c r="C34" s="22">
        <v>200</v>
      </c>
      <c r="D34" s="23">
        <f>F34*C9</f>
        <v>69200</v>
      </c>
      <c r="E34" s="24">
        <f>D34/12</f>
        <v>5766.666666666667</v>
      </c>
      <c r="F34" s="25">
        <f>SUM(C34)*D4</f>
        <v>173</v>
      </c>
      <c r="G34" s="42"/>
      <c r="H34" s="3" t="s">
        <v>49</v>
      </c>
    </row>
    <row r="35" spans="2:13" ht="17" thickBot="1" x14ac:dyDescent="0.25">
      <c r="B35" s="36" t="s">
        <v>33</v>
      </c>
      <c r="C35" s="37"/>
      <c r="D35" s="38">
        <f>SUM(D30:D34)</f>
        <v>955960</v>
      </c>
      <c r="E35" s="39">
        <f>SUM(E30:E34)</f>
        <v>79663.333333333343</v>
      </c>
      <c r="F35" s="71">
        <f>SUM(F30:F34)</f>
        <v>2389.9</v>
      </c>
    </row>
    <row r="36" spans="2:13" x14ac:dyDescent="0.2">
      <c r="B36" s="43" t="s">
        <v>34</v>
      </c>
      <c r="C36" s="22"/>
      <c r="D36" s="41"/>
      <c r="E36" s="29"/>
      <c r="F36" s="29"/>
    </row>
    <row r="37" spans="2:13" x14ac:dyDescent="0.2">
      <c r="B37" s="44" t="s">
        <v>40</v>
      </c>
      <c r="D37" s="45">
        <f>SUM(D35+D25)</f>
        <v>1617280</v>
      </c>
      <c r="E37" s="45">
        <f>SUM(E35+E25)</f>
        <v>134573.33333333334</v>
      </c>
      <c r="F37" s="45">
        <f>SUM(F35+F25)</f>
        <v>4043.2</v>
      </c>
      <c r="M37" s="3" t="s">
        <v>57</v>
      </c>
    </row>
    <row r="38" spans="2:13" ht="17" thickBot="1" x14ac:dyDescent="0.25">
      <c r="D38" s="29"/>
      <c r="F38" s="29"/>
      <c r="M38" s="24">
        <f>C7*F35</f>
        <v>477980</v>
      </c>
    </row>
    <row r="39" spans="2:13" ht="17" thickBot="1" x14ac:dyDescent="0.25">
      <c r="B39" s="46" t="s">
        <v>17</v>
      </c>
      <c r="C39" s="47">
        <f>C8</f>
        <v>200</v>
      </c>
      <c r="D39" s="48"/>
      <c r="E39" s="49"/>
      <c r="F39" s="49"/>
      <c r="G39" s="50">
        <f>C9*F35</f>
        <v>955960</v>
      </c>
      <c r="H39" s="51" t="s">
        <v>18</v>
      </c>
      <c r="J39" s="52"/>
      <c r="M39" s="3" t="s">
        <v>58</v>
      </c>
    </row>
    <row r="40" spans="2:13" ht="17" thickBot="1" x14ac:dyDescent="0.25">
      <c r="B40" s="21" t="s">
        <v>42</v>
      </c>
      <c r="C40" s="53">
        <v>4500</v>
      </c>
      <c r="D40" s="54">
        <f>C39*C40</f>
        <v>900000</v>
      </c>
      <c r="E40" s="24"/>
      <c r="G40" s="55">
        <f>D25</f>
        <v>661320</v>
      </c>
      <c r="H40" s="56" t="s">
        <v>54</v>
      </c>
      <c r="J40" s="52"/>
      <c r="M40" s="24">
        <f>C40-F35</f>
        <v>2110.1</v>
      </c>
    </row>
    <row r="41" spans="2:13" x14ac:dyDescent="0.2">
      <c r="B41" s="57"/>
      <c r="C41" s="24"/>
      <c r="D41" s="54"/>
      <c r="E41" s="54"/>
      <c r="F41" s="58"/>
      <c r="G41" s="55">
        <f>M40*C8</f>
        <v>422020</v>
      </c>
      <c r="H41" s="59" t="s">
        <v>63</v>
      </c>
      <c r="J41" s="52"/>
      <c r="M41" s="3" t="s">
        <v>59</v>
      </c>
    </row>
    <row r="42" spans="2:13" x14ac:dyDescent="0.2">
      <c r="B42" s="57"/>
      <c r="C42" s="24"/>
      <c r="D42" s="54"/>
      <c r="E42" s="54"/>
      <c r="F42" s="58"/>
      <c r="G42" s="55">
        <f>G40-G41</f>
        <v>239300</v>
      </c>
      <c r="H42" s="59" t="s">
        <v>61</v>
      </c>
      <c r="J42" s="52"/>
      <c r="M42" s="24">
        <f>C8*M40</f>
        <v>422020</v>
      </c>
    </row>
    <row r="43" spans="2:13" ht="17" thickBot="1" x14ac:dyDescent="0.25">
      <c r="B43" s="57" t="s">
        <v>55</v>
      </c>
      <c r="C43" s="24"/>
      <c r="D43" s="54"/>
      <c r="E43" s="54"/>
      <c r="F43" s="58"/>
      <c r="G43" s="72">
        <f>(G39+G40)-G41</f>
        <v>1195260</v>
      </c>
      <c r="H43" s="59" t="s">
        <v>56</v>
      </c>
      <c r="J43" s="52"/>
    </row>
    <row r="44" spans="2:13" ht="18" customHeight="1" thickBot="1" x14ac:dyDescent="0.25">
      <c r="B44" s="21" t="s">
        <v>64</v>
      </c>
      <c r="F44" s="29"/>
      <c r="G44" s="60">
        <f>(M38+G42)/C7</f>
        <v>3586.4</v>
      </c>
      <c r="H44" s="59"/>
    </row>
    <row r="45" spans="2:13" ht="17" thickBot="1" x14ac:dyDescent="0.25">
      <c r="B45" s="61" t="s">
        <v>60</v>
      </c>
      <c r="C45" s="62"/>
      <c r="D45" s="62"/>
      <c r="E45" s="62"/>
      <c r="F45" s="62"/>
      <c r="G45" s="63">
        <f>G44*C7</f>
        <v>717280</v>
      </c>
      <c r="H45" s="64"/>
    </row>
    <row r="46" spans="2:13" x14ac:dyDescent="0.2">
      <c r="B46" s="4"/>
    </row>
    <row r="47" spans="2:13" x14ac:dyDescent="0.2">
      <c r="B47" s="3" t="s">
        <v>41</v>
      </c>
      <c r="C47" s="3" t="s">
        <v>48</v>
      </c>
    </row>
    <row r="48" spans="2:13" x14ac:dyDescent="0.2">
      <c r="B48" s="3" t="s">
        <v>34</v>
      </c>
    </row>
  </sheetData>
  <pageMargins left="0.7" right="0.7" top="0.75" bottom="0.75" header="0.3" footer="0.3"/>
  <pageSetup paperSize="8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EURO (2)</vt:lpstr>
      <vt:lpstr>'EURO (2)'!Utskriftsområde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Bluelink Jets</dc:creator>
  <cp:lastModifiedBy>Fredrik Engmér</cp:lastModifiedBy>
  <dcterms:created xsi:type="dcterms:W3CDTF">2023-02-16T12:17:39Z</dcterms:created>
  <dcterms:modified xsi:type="dcterms:W3CDTF">2025-11-01T09:43:50Z</dcterms:modified>
</cp:coreProperties>
</file>